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ngy\Downloads\"/>
    </mc:Choice>
  </mc:AlternateContent>
  <xr:revisionPtr revIDLastSave="0" documentId="13_ncr:1_{3D8BCF16-2184-4B4F-A2CE-153597296296}" xr6:coauthVersionLast="47" xr6:coauthVersionMax="47" xr10:uidLastSave="{00000000-0000-0000-0000-000000000000}"/>
  <bookViews>
    <workbookView xWindow="43080" yWindow="-120" windowWidth="29040" windowHeight="15720" tabRatio="500" activeTab="1" xr2:uid="{00000000-000D-0000-FFFF-FFFF00000000}"/>
  </bookViews>
  <sheets>
    <sheet name="01_Dashboard" sheetId="1" r:id="rId1"/>
    <sheet name="02_Config_Master" sheetId="2" r:id="rId2"/>
    <sheet name="03_Import_Shopify" sheetId="3" r:id="rId3"/>
    <sheet name="04_Import_WMS" sheetId="4" r:id="rId4"/>
    <sheet name="05_Import_3PL" sheetId="5" r:id="rId5"/>
    <sheet name="06_Calc_Engin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8" i="6" l="1"/>
  <c r="N18" i="6"/>
  <c r="G18" i="6" a="1"/>
  <c r="G18" i="6" s="1"/>
  <c r="F18" i="6" a="1"/>
  <c r="F18" i="6" s="1"/>
  <c r="E18" i="6" a="1"/>
  <c r="E18" i="6" s="1"/>
  <c r="I18" i="6" s="1"/>
  <c r="K18" i="6" s="1"/>
  <c r="D18" i="6"/>
  <c r="O17" i="6"/>
  <c r="N17" i="6"/>
  <c r="G17" i="6" a="1"/>
  <c r="G17" i="6" s="1"/>
  <c r="F17" i="6" a="1"/>
  <c r="F17" i="6" s="1"/>
  <c r="E17" i="6" a="1"/>
  <c r="E17" i="6" s="1"/>
  <c r="D17" i="6"/>
  <c r="O16" i="6"/>
  <c r="N16" i="6"/>
  <c r="G16" i="6"/>
  <c r="G16" i="6" a="1"/>
  <c r="F16" i="6" a="1"/>
  <c r="F16" i="6" s="1"/>
  <c r="E16" i="6" a="1"/>
  <c r="E16" i="6" s="1"/>
  <c r="I16" i="6" s="1"/>
  <c r="K16" i="6" s="1"/>
  <c r="D16" i="6"/>
  <c r="O15" i="6"/>
  <c r="N15" i="6"/>
  <c r="G15" i="6"/>
  <c r="G15" i="6" a="1"/>
  <c r="F15" i="6" a="1"/>
  <c r="F15" i="6" s="1"/>
  <c r="E15" i="6" a="1"/>
  <c r="E15" i="6" s="1"/>
  <c r="I15" i="6" s="1"/>
  <c r="K15" i="6" s="1"/>
  <c r="D15" i="6"/>
  <c r="O14" i="6"/>
  <c r="N14" i="6"/>
  <c r="G14" i="6"/>
  <c r="G14" i="6" a="1"/>
  <c r="F14" i="6" a="1"/>
  <c r="F14" i="6" s="1"/>
  <c r="E14" i="6" a="1"/>
  <c r="E14" i="6" s="1"/>
  <c r="H14" i="6" s="1"/>
  <c r="D14" i="6"/>
  <c r="O13" i="6"/>
  <c r="N13" i="6"/>
  <c r="G13" i="6" a="1"/>
  <c r="G13" i="6" s="1"/>
  <c r="F13" i="6" a="1"/>
  <c r="F13" i="6" s="1"/>
  <c r="E13" i="6" a="1"/>
  <c r="E13" i="6" s="1"/>
  <c r="H13" i="6" s="1"/>
  <c r="D13" i="6"/>
  <c r="O12" i="6"/>
  <c r="N12" i="6"/>
  <c r="G12" i="6"/>
  <c r="G12" i="6" a="1"/>
  <c r="F12" i="6" a="1"/>
  <c r="F12" i="6" s="1"/>
  <c r="E12" i="6"/>
  <c r="I12" i="6" s="1"/>
  <c r="K12" i="6" s="1"/>
  <c r="E12" i="6" a="1"/>
  <c r="D12" i="6"/>
  <c r="O11" i="6"/>
  <c r="N11" i="6"/>
  <c r="G11" i="6" a="1"/>
  <c r="G11" i="6" s="1"/>
  <c r="F11" i="6" a="1"/>
  <c r="F11" i="6" s="1"/>
  <c r="E11" i="6" a="1"/>
  <c r="E11" i="6" s="1"/>
  <c r="I11" i="6" s="1"/>
  <c r="K11" i="6" s="1"/>
  <c r="D11" i="6"/>
  <c r="O10" i="6"/>
  <c r="N10" i="6"/>
  <c r="G10" i="6" a="1"/>
  <c r="G10" i="6" s="1"/>
  <c r="F10" i="6"/>
  <c r="F10" i="6" a="1"/>
  <c r="E10" i="6" a="1"/>
  <c r="E10" i="6" s="1"/>
  <c r="D10" i="6"/>
  <c r="O9" i="6"/>
  <c r="N9" i="6"/>
  <c r="G9" i="6" a="1"/>
  <c r="G9" i="6" s="1"/>
  <c r="F9" i="6" a="1"/>
  <c r="F9" i="6" s="1"/>
  <c r="E9" i="6" a="1"/>
  <c r="E9" i="6" s="1"/>
  <c r="D9" i="6"/>
  <c r="B18" i="6"/>
  <c r="C18" i="6" s="1"/>
  <c r="C17" i="6"/>
  <c r="B17" i="6"/>
  <c r="B16" i="6"/>
  <c r="C16" i="6" s="1"/>
  <c r="B15" i="6"/>
  <c r="C15" i="6" s="1"/>
  <c r="B14" i="6"/>
  <c r="C14" i="6" s="1"/>
  <c r="B13" i="6"/>
  <c r="C13" i="6" s="1"/>
  <c r="B12" i="6"/>
  <c r="C12" i="6" s="1"/>
  <c r="B11" i="6"/>
  <c r="C11" i="6" s="1"/>
  <c r="B10" i="6"/>
  <c r="C10" i="6" s="1"/>
  <c r="B9" i="6"/>
  <c r="C9" i="6" s="1"/>
  <c r="I10" i="6" l="1"/>
  <c r="K10" i="6" s="1"/>
  <c r="H17" i="6"/>
  <c r="J17" i="6" s="1"/>
  <c r="H9" i="6"/>
  <c r="J9" i="6" s="1"/>
  <c r="I9" i="6"/>
  <c r="K9" i="6" s="1"/>
  <c r="L9" i="6"/>
  <c r="M13" i="6"/>
  <c r="P13" i="6" s="1" a="1"/>
  <c r="P13" i="6" s="1"/>
  <c r="J13" i="6"/>
  <c r="L13" i="6" s="1"/>
  <c r="M14" i="6"/>
  <c r="P14" i="6" s="1" a="1"/>
  <c r="P14" i="6" s="1"/>
  <c r="J14" i="6"/>
  <c r="L14" i="6" s="1"/>
  <c r="H16" i="6"/>
  <c r="I17" i="6"/>
  <c r="K17" i="6" s="1"/>
  <c r="G10" i="1"/>
  <c r="M9" i="6"/>
  <c r="P9" i="6" s="1" a="1"/>
  <c r="P9" i="6" s="1"/>
  <c r="B10" i="1"/>
  <c r="H18" i="6"/>
  <c r="H15" i="6"/>
  <c r="H12" i="6"/>
  <c r="I13" i="6"/>
  <c r="K13" i="6" s="1"/>
  <c r="H11" i="6"/>
  <c r="I14" i="6"/>
  <c r="K14" i="6" s="1"/>
  <c r="H10" i="6"/>
  <c r="Q10" i="1"/>
  <c r="K20" i="6" l="1"/>
  <c r="M16" i="6"/>
  <c r="P16" i="6" s="1" a="1"/>
  <c r="P16" i="6" s="1"/>
  <c r="J16" i="6"/>
  <c r="L16" i="6" s="1"/>
  <c r="J10" i="6"/>
  <c r="M10" i="6"/>
  <c r="P10" i="6" s="1" a="1"/>
  <c r="P10" i="6" s="1"/>
  <c r="M12" i="6"/>
  <c r="P12" i="6" s="1" a="1"/>
  <c r="P12" i="6" s="1"/>
  <c r="J12" i="6"/>
  <c r="L12" i="6" s="1"/>
  <c r="M15" i="6"/>
  <c r="P15" i="6" s="1" a="1"/>
  <c r="P15" i="6" s="1"/>
  <c r="J15" i="6"/>
  <c r="L15" i="6" s="1"/>
  <c r="M18" i="6"/>
  <c r="P18" i="6" s="1" a="1"/>
  <c r="P18" i="6" s="1"/>
  <c r="J18" i="6"/>
  <c r="L18" i="6" s="1"/>
  <c r="J11" i="6"/>
  <c r="L11" i="6" s="1"/>
  <c r="M11" i="6"/>
  <c r="P11" i="6" s="1" a="1"/>
  <c r="P11" i="6" s="1"/>
  <c r="L17" i="6"/>
  <c r="M17" i="6"/>
  <c r="P17" i="6" s="1" a="1"/>
  <c r="P17" i="6" s="1"/>
  <c r="L10" i="6" l="1"/>
  <c r="J20" i="6"/>
  <c r="L20" i="6" l="1"/>
  <c r="L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<sst xmlns="http://schemas.openxmlformats.org/spreadsheetml/2006/main" count="232" uniqueCount="150">
  <si>
    <t>DASHBOARD</t>
  </si>
  <si>
    <t>CONFIG</t>
  </si>
  <si>
    <t>SHOPIFY</t>
  </si>
  <si>
    <t>WMS</t>
  </si>
  <si>
    <t>3PL</t>
  </si>
  <si>
    <t>CALC</t>
  </si>
  <si>
    <t>MULTI-NODE INVENTORY RECONCILIATION  |  LOSS ANALYSIS DASHBOARD</t>
  </si>
  <si>
    <t>KEY PERFORMANCE INDICATORS</t>
  </si>
  <si>
    <t>TOTAL RECONCILED SKUs</t>
  </si>
  <si>
    <t>TOTAL INVENTORY VARIANCE</t>
  </si>
  <si>
    <t>TOTAL FINANCIAL EXPOSURE</t>
  </si>
  <si>
    <t>SYSTEM ACCURACY RATE</t>
  </si>
  <si>
    <t>Active SKUs under analysis</t>
  </si>
  <si>
    <t>Total unit discrepancies — all nodes</t>
  </si>
  <si>
    <t>Aggregate shrinkage cost (USD)</t>
  </si>
  <si>
    <t>WMS vs. Shopify match rate</t>
  </si>
  <si>
    <t>FINANCIAL LOSS ANALYSIS</t>
  </si>
  <si>
    <t>▣  CHART A — TOP 10 SKUs BY FINANCIAL LOSS  [ Horizontal Bar Chart ]</t>
  </si>
  <si>
    <t>▣  CHART B — LOSS DISTRIBUTION BY NODE  [ Donut Chart, hole 65% ]</t>
  </si>
  <si>
    <t>Source      :  tbl_Calc  (06_Calc_Engine)</t>
  </si>
  <si>
    <t>Data points  :  2  (WMS Loss total  |  3PL Loss total)</t>
  </si>
  <si>
    <t>Fields      :  Master_SKU (axis)  |  Total_Loss (value, $)</t>
  </si>
  <si>
    <t>WMS source   :  =SUM('06_Calc_Engine'!J9:J18)  → fill #051C2C</t>
  </si>
  <si>
    <t>Chart type  :  Horizontal Clustered Bar</t>
  </si>
  <si>
    <t>3PL source   :  =SUM('06_Calc_Engine'!K9:K18)  → fill #2251FF</t>
  </si>
  <si>
    <t>Filter      :  Top 10 by Total_Loss DESC</t>
  </si>
  <si>
    <t>Center label :  Text box overlay — total exposure ($)</t>
  </si>
  <si>
    <t>Series fill :  #2251FF (Brand Blue)  |  Data labels ON</t>
  </si>
  <si>
    <t>Legend       :  Right-aligned  |  Calibri 10pt  |  #888888</t>
  </si>
  <si>
    <t>Title cell  :  ="Top 10 Loss Items — "&amp;TEXT(TODAY(),"MMM YYYY")</t>
  </si>
  <si>
    <t>MANUAL STEPS:</t>
  </si>
  <si>
    <t xml:space="preserve">  1. Insert &gt; Pie/Donut &gt; Donut chart</t>
  </si>
  <si>
    <t xml:space="preserve">  1. Insert &gt; PivotChart — source: tbl_Calc</t>
  </si>
  <si>
    <t xml:space="preserve">  2. Select data: two summary cells (WMS sum, 3PL sum)</t>
  </si>
  <si>
    <t xml:space="preserve">  2. Rows = Master_SKU  |  Values = Sum of Total_Loss</t>
  </si>
  <si>
    <t xml:space="preserve">  3. Format Data Series → Donut hole size = 65%</t>
  </si>
  <si>
    <t xml:space="preserve">  3. Value filter: Top 10 by Total_Loss</t>
  </si>
  <si>
    <t xml:space="preserve">  4. Override series colors to #051C2C / #2251FF</t>
  </si>
  <si>
    <t xml:space="preserve">  4. Change to Horizontal Bar  |  Format → series fill #2251FF</t>
  </si>
  <si>
    <t xml:space="preserve">  5. Insert text box at center: =SUM(tbl_Calc[Total_Loss])</t>
  </si>
  <si>
    <t xml:space="preserve">  5. Delete chart border &amp; gridlines  |  Add data labels (outside end)</t>
  </si>
  <si>
    <t xml:space="preserve">  6. Delete chart border  |  Set chart bg = transparent</t>
  </si>
  <si>
    <t xml:space="preserve">  6. Link title to a cell with the formula above</t>
  </si>
  <si>
    <t>CRITICAL ACTION GRID  —  SLA BREACH ITEMS</t>
  </si>
  <si>
    <t>▣  SLICERS  |  Product_Category  ×  Location_ID  — Connect to Breach Grid</t>
  </si>
  <si>
    <t>Slicer 1 :  Product_Category  (source: tbl_Config[Product_Category])</t>
  </si>
  <si>
    <t>Slicer 2 :  Location_ID        (source: tbl_WMS[Location_ID])</t>
  </si>
  <si>
    <t>MANUAL   :  PivotTable Analyze tab &gt; Insert Slicer</t>
  </si>
  <si>
    <t xml:space="preserve">           Report Connections: link both slicers to the breach pivot</t>
  </si>
  <si>
    <t xml:space="preserve">           Override slicer header fill to #051C2C after inserting</t>
  </si>
  <si>
    <t>▣  SLA ACTION GRID — Dynamic Breach Table  [ Excel 365 FILTER or PivotTable ]</t>
  </si>
  <si>
    <t>Source  :  '06_Calc_Engine' rows 9:18 (expand range as SKUs grow)</t>
  </si>
  <si>
    <t>Columns :  Master_SKU | Shopify_OnHand | Var_WMS | Var_3PL | Total_Loss | Disc_Pct | SLA_Status</t>
  </si>
  <si>
    <t>Filter  :  SLA_Status IN ('SLA Breach', 'Threshold Breach')</t>
  </si>
  <si>
    <t>Sort    :  Total_Loss DESC</t>
  </si>
  <si>
    <t>── OPTION A: Excel 365 Dynamic Array (recommended) ─────────────────────────</t>
  </si>
  <si>
    <t xml:space="preserve">  Paste into cell B44:</t>
  </si>
  <si>
    <t xml:space="preserve">  =LET(src, '06_Calc_Engine'!B9:P18,</t>
  </si>
  <si>
    <t xml:space="preserve">       flt, FILTER(src,(CHOOSECOLS(src,15)&lt;&gt;"Balanced")*(CHOOSECOLS(src,15)&lt;&gt;"Acceptable Variance")),</t>
  </si>
  <si>
    <t xml:space="preserve">       SORT(flt, 11, -1))</t>
  </si>
  <si>
    <t>── OPTION B: PivotTable (Excel 2019 / older) ────────────────────────────────</t>
  </si>
  <si>
    <t xml:space="preserve">  Insert PivotTable from tbl_Calc</t>
  </si>
  <si>
    <t xml:space="preserve">  Rows: Master_SKU  |  Values: Total_Loss, Var_WMS, Var_3PL, Disc_Pct</t>
  </si>
  <si>
    <t xml:space="preserve">  Report Filter: SLA_Status  (select 'SLA Breach' + 'Threshold Breach')</t>
  </si>
  <si>
    <t xml:space="preserve">  Sort: Total_Loss DESC  |  Apply Red conditional formatting to breach rows</t>
  </si>
  <si>
    <t>CONFIG MASTER  —  SKU Registry, Cost Basis &amp; SLA Governance</t>
  </si>
  <si>
    <t>SKU must exactly match Shopify, WMS, and 3PL codes. Unit_Cost = Landed Cost (COGS). Table auto-expands on new row append.</t>
  </si>
  <si>
    <t>SKU</t>
  </si>
  <si>
    <t>Product_Name</t>
  </si>
  <si>
    <t>Product_Category</t>
  </si>
  <si>
    <t>Unit_Cost</t>
  </si>
  <si>
    <t>SLA_Qty_Limit</t>
  </si>
  <si>
    <t>SLA_Pct_Limit</t>
  </si>
  <si>
    <t>SETUP GUIDE</t>
  </si>
  <si>
    <t>TSHIRT-001</t>
  </si>
  <si>
    <t>Classic Cotton T-Shirt</t>
  </si>
  <si>
    <t>Apparel</t>
  </si>
  <si>
    <t>① SKU must exactly match codes in Shopify, WMS, and 3PL exports.</t>
  </si>
  <si>
    <t>PANTS-002</t>
  </si>
  <si>
    <t>Slim Fit Chinos</t>
  </si>
  <si>
    <t>② Spaces and case differences are auto-corrected by CALC Engine.</t>
  </si>
  <si>
    <t>JACKET-003</t>
  </si>
  <si>
    <t>Winter Parka</t>
  </si>
  <si>
    <t>③ Unit_Cost = Landed Cost per unit (COGS). Used for loss valuation.</t>
  </si>
  <si>
    <t>WATCH-004</t>
  </si>
  <si>
    <t>Minimalist Watch</t>
  </si>
  <si>
    <t>Accessories</t>
  </si>
  <si>
    <t>④ SLA_Qty_Limit = max unit variance before Threshold Breach fires.</t>
  </si>
  <si>
    <t>BAG-005</t>
  </si>
  <si>
    <t>Canvas Tote Bag</t>
  </si>
  <si>
    <t>⑤ SLA_Pct_Limit = max % discrepancy before SLA Breach fires.</t>
  </si>
  <si>
    <t>SHOE-006</t>
  </si>
  <si>
    <t>Running Sneakers</t>
  </si>
  <si>
    <t>Footwear</t>
  </si>
  <si>
    <t>⚠  Do NOT delete or reorder header row (row 8).</t>
  </si>
  <si>
    <t>HAT-007</t>
  </si>
  <si>
    <t>Baseball Cap</t>
  </si>
  <si>
    <t>⑥ New SKUs: append below last row. Table expands automatically.</t>
  </si>
  <si>
    <t>BELT-008</t>
  </si>
  <si>
    <t>Leather Belt</t>
  </si>
  <si>
    <t>PHONE-009</t>
  </si>
  <si>
    <t>Protective Phone Case</t>
  </si>
  <si>
    <t>Electronics</t>
  </si>
  <si>
    <t>HEADPHONE-010</t>
  </si>
  <si>
    <t>Wireless Headphones</t>
  </si>
  <si>
    <t>IMPORT: SHOPIFY  —  eCommerce Inventory Export</t>
  </si>
  <si>
    <t>Paste raw Shopify inventory CSV here (Paste Special → Values Only). Do not modify column order. Supports up to 5,000 rows.</t>
  </si>
  <si>
    <t>Title</t>
  </si>
  <si>
    <t>Available_Qty</t>
  </si>
  <si>
    <t>On_Hand_Qty</t>
  </si>
  <si>
    <t>▲  Paste additional rows above this line. Table expands automatically. Max 5,000 rows.</t>
  </si>
  <si>
    <t>IMPORT: WMS  —  Warehouse Management System Physical Stock</t>
  </si>
  <si>
    <t>Paste raw WMS / store-level physical count export here (Paste Values Only). WMS_Physical_Qty is used for variance calculation. Allocated units are excluded.</t>
  </si>
  <si>
    <t>Location_ID</t>
  </si>
  <si>
    <t>WMS_Physical_Qty</t>
  </si>
  <si>
    <t>WMS_Allocated_Qty</t>
  </si>
  <si>
    <t>BIN-A1</t>
  </si>
  <si>
    <t>BIN-B2</t>
  </si>
  <si>
    <t>BIN-C1</t>
  </si>
  <si>
    <t>SAFE-01</t>
  </si>
  <si>
    <t>BIN-D3</t>
  </si>
  <si>
    <t>BIN-E1</t>
  </si>
  <si>
    <t>BIN-F2</t>
  </si>
  <si>
    <t>BIN-G1</t>
  </si>
  <si>
    <t>SHELF-01</t>
  </si>
  <si>
    <t>SAFE-02</t>
  </si>
  <si>
    <t>IMPORT: 3PL  —  Third-Party Logistics Partner Inventory Report</t>
  </si>
  <si>
    <t>Paste raw 3PL partner inventory report here. Map partner SKU field to Item_Code. Total_Stock (not Available_Stock) is used for shrinkage analysis.</t>
  </si>
  <si>
    <t>Item_Code</t>
  </si>
  <si>
    <t>Total_Stock</t>
  </si>
  <si>
    <t>Damaged_Qty</t>
  </si>
  <si>
    <t>Available_Stock</t>
  </si>
  <si>
    <t>CALC ENGINE  —  SKU-Level Reconciliation &amp; Financial Loss Processing</t>
  </si>
  <si>
    <t>⚠  PROTECTED CALCULATION LAYER — Do NOT manually edit data in this sheet. All Dashboard metrics and SLA alerts derive from here.</t>
  </si>
  <si>
    <t>Master_SKU</t>
  </si>
  <si>
    <t>Clean_SKU</t>
  </si>
  <si>
    <t>Shopify_OnHand</t>
  </si>
  <si>
    <t>WMS_Physical</t>
  </si>
  <si>
    <t>3PL_Physical</t>
  </si>
  <si>
    <t>Var_Shopify_WMS</t>
  </si>
  <si>
    <t>Var_Shopify_3PL</t>
  </si>
  <si>
    <t>Loss_WMS</t>
  </si>
  <si>
    <t>Loss_3PL</t>
  </si>
  <si>
    <t>Total_Loss</t>
  </si>
  <si>
    <t>Disc_Pct</t>
  </si>
  <si>
    <t>SLA_Qty_Thresh</t>
  </si>
  <si>
    <t>SLA_Pct_Thresh</t>
  </si>
  <si>
    <t>SLA_Status</t>
  </si>
  <si>
    <t>TOTALS</t>
  </si>
  <si>
    <t>FORMULA KEY:  Var = Shopify_OnHand − WMS/3PL   |   Loss = IF(Var&gt;0, Var×Unit_Cost, 0)   |   Disc_Pct = MAX(|Var_WMS|, |Var_3PL|) ÷ Shopify_OnHand   |   SLA Breach fires when Disc_Pct &gt; SLA_Pct_Thresh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</si>
</sst>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.00"/>
    <numFmt numFmtId="165" formatCode="0.0%"/>
    <numFmt numFmtId="166" formatCode="\+#,##0;\-#,##0;\—"/>
  </numFmts>
  <fonts count="33" x14ac:knownFonts="1">
    <font>
      <sz val="11"/>
      <color theme="1"/>
      <name val="Calibri"/>
      <family val="2"/>
      <charset val="1"/>
    </font>
    <font>
      <b/>
      <sz val="11"/>
      <color rgb="FFFFFFFF"/>
      <name val="Garamond"/>
      <family val="1"/>
    </font>
    <font>
      <sz val="11"/>
      <color rgb="FFFFFFFF"/>
      <name val="Garamond"/>
      <family val="1"/>
    </font>
    <font>
      <b/>
      <sz val="19"/>
      <color rgb="FF051C2C"/>
      <name val="Garamond"/>
      <family val="1"/>
    </font>
    <font>
      <b/>
      <sz val="14"/>
      <color rgb="FF051C2C"/>
      <name val="Garamond"/>
      <family val="1"/>
    </font>
    <font>
      <b/>
      <sz val="9"/>
      <color rgb="FF888888"/>
      <name val="Calibri"/>
      <family val="2"/>
    </font>
    <font>
      <b/>
      <sz val="30"/>
      <color rgb="FF051C2C"/>
      <name val="Garamond"/>
      <family val="1"/>
    </font>
    <font>
      <i/>
      <sz val="9"/>
      <color rgb="FF888888"/>
      <name val="Calibri"/>
      <family val="2"/>
    </font>
    <font>
      <b/>
      <sz val="10"/>
      <color rgb="FFE65100"/>
      <name val="Calibri"/>
      <family val="2"/>
    </font>
    <font>
      <i/>
      <sz val="9"/>
      <color rgb="FF5D4037"/>
      <name val="Calibri"/>
      <family val="2"/>
    </font>
    <font>
      <b/>
      <sz val="14"/>
      <color rgb="FFD32F2F"/>
      <name val="Garamond"/>
      <family val="1"/>
    </font>
    <font>
      <b/>
      <sz val="18"/>
      <color rgb="FF051C2C"/>
      <name val="Garamond"/>
      <family val="1"/>
    </font>
    <font>
      <sz val="10"/>
      <color rgb="FF888888"/>
      <name val="Calibri"/>
      <family val="2"/>
    </font>
    <font>
      <b/>
      <sz val="12"/>
      <color rgb="FFFFFFFF"/>
      <name val="Garamond"/>
      <family val="1"/>
    </font>
    <font>
      <b/>
      <sz val="10"/>
      <color rgb="FF9C0006"/>
      <name val="Calibri"/>
      <family val="2"/>
    </font>
    <font>
      <b/>
      <sz val="11"/>
      <color rgb="FFBBBBBB"/>
      <name val="Garamond"/>
      <family val="1"/>
    </font>
    <font>
      <sz val="9"/>
      <color rgb="FF888888"/>
      <name val="Calibri"/>
      <family val="2"/>
    </font>
    <font>
      <sz val="11"/>
      <color theme="1"/>
      <name val="等线"/>
    </font>
    <font>
      <b/>
      <sz val="9"/>
      <color rgb="FF888888"/>
      <name val="等线"/>
    </font>
    <font>
      <i/>
      <sz val="9"/>
      <color rgb="FF888888"/>
      <name val="等线"/>
    </font>
    <font>
      <b/>
      <sz val="10"/>
      <color rgb="FFE65100"/>
      <name val="等线"/>
    </font>
    <font>
      <i/>
      <sz val="9"/>
      <color rgb="FF5D4037"/>
      <name val="等线"/>
    </font>
    <font>
      <sz val="10"/>
      <color rgb="FF888888"/>
      <name val="等线"/>
    </font>
    <font>
      <b/>
      <sz val="10"/>
      <color rgb="FFFFFFFF"/>
      <name val="等线"/>
    </font>
    <font>
      <b/>
      <sz val="11"/>
      <color rgb="FF051C2C"/>
      <name val="等线"/>
    </font>
    <font>
      <sz val="11"/>
      <color rgb="FF1A1A2E"/>
      <name val="等线"/>
    </font>
    <font>
      <sz val="10"/>
      <color rgb="FF1A1A2E"/>
      <name val="等线"/>
    </font>
    <font>
      <sz val="10"/>
      <color rgb="FF9C0006"/>
      <name val="等线"/>
    </font>
    <font>
      <b/>
      <sz val="10"/>
      <color rgb="FF9C0006"/>
      <name val="等线"/>
    </font>
    <font>
      <sz val="11"/>
      <color rgb="FF888888"/>
      <name val="等线"/>
    </font>
    <font>
      <b/>
      <sz val="11"/>
      <color rgb="FF1A1A2E"/>
      <name val="等线"/>
    </font>
    <font>
      <sz val="12"/>
      <color rgb="FFFFFFFF"/>
      <name val="等线"/>
    </font>
    <font>
      <sz val="9"/>
      <color rgb="FF888888"/>
      <name val="等线"/>
    </font>
  </fonts>
  <fills count="11">
    <fill>
      <patternFill patternType="none"/>
    </fill>
    <fill>
      <patternFill patternType="gray125"/>
    </fill>
    <fill>
      <patternFill patternType="solid">
        <fgColor rgb="FFF5F5F2"/>
        <bgColor rgb="FFE8F5E9"/>
      </patternFill>
    </fill>
    <fill>
      <patternFill patternType="solid">
        <fgColor rgb="FF051C2C"/>
        <bgColor rgb="FF1A1A2E"/>
      </patternFill>
    </fill>
    <fill>
      <patternFill patternType="solid">
        <fgColor rgb="FF2251FF"/>
        <bgColor rgb="FF0066CC"/>
      </patternFill>
    </fill>
    <fill>
      <patternFill patternType="solid">
        <fgColor rgb="FFFFFFFF"/>
        <bgColor rgb="FFFFFDE7"/>
      </patternFill>
    </fill>
    <fill>
      <patternFill patternType="solid">
        <fgColor rgb="FFFFF2CC"/>
        <bgColor rgb="FFFFF9C4"/>
      </patternFill>
    </fill>
    <fill>
      <patternFill patternType="solid">
        <fgColor rgb="FFD32F2F"/>
        <bgColor rgb="FFE65100"/>
      </patternFill>
    </fill>
    <fill>
      <patternFill patternType="solid">
        <fgColor rgb="FFE5F4FA"/>
        <bgColor rgb="FFE8F5E9"/>
      </patternFill>
    </fill>
    <fill>
      <patternFill patternType="solid">
        <fgColor rgb="FFFFCDD2"/>
        <bgColor rgb="FFE0E0E0"/>
      </patternFill>
    </fill>
    <fill>
      <patternFill patternType="solid">
        <fgColor rgb="FFFFFDE7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medium">
        <color rgb="FFFFC000"/>
      </left>
      <right style="medium">
        <color rgb="FFD0D0D0"/>
      </right>
      <top style="medium">
        <color rgb="FFFFC000"/>
      </top>
      <bottom style="thin">
        <color rgb="FFFFC000"/>
      </bottom>
      <diagonal/>
    </border>
    <border>
      <left style="medium">
        <color rgb="FFFFC000"/>
      </left>
      <right style="medium">
        <color rgb="FFD0D0D0"/>
      </right>
      <top style="thin">
        <color rgb="FFFFC000"/>
      </top>
      <bottom style="thin">
        <color rgb="FFFFC000"/>
      </bottom>
      <diagonal/>
    </border>
    <border>
      <left style="medium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medium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rgb="FFFFC000"/>
      </left>
      <right/>
      <top style="thin">
        <color rgb="FFFFC000"/>
      </top>
      <bottom style="medium">
        <color rgb="FFFFC000"/>
      </bottom>
      <diagonal/>
    </border>
    <border>
      <left/>
      <right/>
      <top style="thin">
        <color rgb="FFFFC000"/>
      </top>
      <bottom style="medium">
        <color rgb="FFFFC000"/>
      </bottom>
      <diagonal/>
    </border>
    <border>
      <left/>
      <right style="medium">
        <color rgb="FFFFC000"/>
      </right>
      <top style="thin">
        <color rgb="FFFFC000"/>
      </top>
      <bottom style="medium">
        <color rgb="FFFFC000"/>
      </bottom>
      <diagonal/>
    </border>
    <border>
      <left/>
      <right/>
      <top/>
      <bottom style="medium">
        <color rgb="FF2251FF"/>
      </bottom>
      <diagonal/>
    </border>
    <border>
      <left style="thin">
        <color rgb="FFA0A0A0"/>
      </left>
      <right style="thin">
        <color rgb="FFA0A0A0"/>
      </right>
      <top/>
      <bottom style="thin">
        <color rgb="FFD0D0D0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3" fillId="3" borderId="10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right" vertical="center"/>
    </xf>
    <xf numFmtId="0" fontId="1" fillId="3" borderId="10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right" vertical="center"/>
    </xf>
    <xf numFmtId="0" fontId="15" fillId="3" borderId="10" xfId="0" applyFont="1" applyFill="1" applyBorder="1" applyAlignment="1">
      <alignment horizontal="right" vertical="center"/>
    </xf>
    <xf numFmtId="0" fontId="1" fillId="3" borderId="10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164" fontId="13" fillId="3" borderId="0" xfId="0" applyNumberFormat="1" applyFont="1" applyFill="1" applyAlignment="1">
      <alignment horizontal="right" vertical="center"/>
    </xf>
    <xf numFmtId="0" fontId="17" fillId="2" borderId="0" xfId="0" applyFont="1" applyFill="1"/>
    <xf numFmtId="0" fontId="17" fillId="3" borderId="0" xfId="0" applyFont="1" applyFill="1"/>
    <xf numFmtId="0" fontId="17" fillId="6" borderId="4" xfId="0" applyFont="1" applyFill="1" applyBorder="1"/>
    <xf numFmtId="0" fontId="17" fillId="6" borderId="5" xfId="0" applyFont="1" applyFill="1" applyBorder="1"/>
    <xf numFmtId="0" fontId="17" fillId="6" borderId="6" xfId="0" applyFont="1" applyFill="1" applyBorder="1"/>
    <xf numFmtId="0" fontId="17" fillId="6" borderId="7" xfId="0" applyFont="1" applyFill="1" applyBorder="1"/>
    <xf numFmtId="0" fontId="17" fillId="6" borderId="8" xfId="0" applyFont="1" applyFill="1" applyBorder="1"/>
    <xf numFmtId="0" fontId="17" fillId="6" borderId="9" xfId="0" applyFont="1" applyFill="1" applyBorder="1"/>
    <xf numFmtId="0" fontId="17" fillId="7" borderId="0" xfId="0" applyFont="1" applyFill="1"/>
    <xf numFmtId="0" fontId="17" fillId="0" borderId="0" xfId="0" applyFont="1"/>
    <xf numFmtId="0" fontId="23" fillId="3" borderId="11" xfId="0" applyFont="1" applyFill="1" applyBorder="1" applyAlignment="1">
      <alignment horizontal="left" vertical="center" wrapText="1"/>
    </xf>
    <xf numFmtId="0" fontId="24" fillId="2" borderId="12" xfId="0" applyFont="1" applyFill="1" applyBorder="1" applyAlignment="1">
      <alignment horizontal="left" vertical="center"/>
    </xf>
    <xf numFmtId="0" fontId="25" fillId="2" borderId="12" xfId="0" applyFont="1" applyFill="1" applyBorder="1" applyAlignment="1">
      <alignment horizontal="left" vertical="center"/>
    </xf>
    <xf numFmtId="164" fontId="25" fillId="2" borderId="12" xfId="0" applyNumberFormat="1" applyFont="1" applyFill="1" applyBorder="1" applyAlignment="1">
      <alignment horizontal="right" vertical="center"/>
    </xf>
    <xf numFmtId="3" fontId="25" fillId="2" borderId="12" xfId="0" applyNumberFormat="1" applyFont="1" applyFill="1" applyBorder="1" applyAlignment="1">
      <alignment horizontal="right" vertical="center"/>
    </xf>
    <xf numFmtId="165" fontId="25" fillId="2" borderId="12" xfId="0" applyNumberFormat="1" applyFont="1" applyFill="1" applyBorder="1" applyAlignment="1">
      <alignment horizontal="right" vertical="center"/>
    </xf>
    <xf numFmtId="0" fontId="26" fillId="8" borderId="11" xfId="0" applyFont="1" applyFill="1" applyBorder="1" applyAlignment="1">
      <alignment horizontal="left" vertical="center" wrapText="1"/>
    </xf>
    <xf numFmtId="0" fontId="24" fillId="5" borderId="12" xfId="0" applyFont="1" applyFill="1" applyBorder="1" applyAlignment="1">
      <alignment horizontal="left" vertical="center"/>
    </xf>
    <xf numFmtId="0" fontId="25" fillId="5" borderId="12" xfId="0" applyFont="1" applyFill="1" applyBorder="1" applyAlignment="1">
      <alignment horizontal="left" vertical="center"/>
    </xf>
    <xf numFmtId="164" fontId="25" fillId="5" borderId="12" xfId="0" applyNumberFormat="1" applyFont="1" applyFill="1" applyBorder="1" applyAlignment="1">
      <alignment horizontal="right" vertical="center"/>
    </xf>
    <xf numFmtId="3" fontId="25" fillId="5" borderId="12" xfId="0" applyNumberFormat="1" applyFont="1" applyFill="1" applyBorder="1" applyAlignment="1">
      <alignment horizontal="right" vertical="center"/>
    </xf>
    <xf numFmtId="165" fontId="25" fillId="5" borderId="12" xfId="0" applyNumberFormat="1" applyFont="1" applyFill="1" applyBorder="1" applyAlignment="1">
      <alignment horizontal="right" vertical="center"/>
    </xf>
    <xf numFmtId="0" fontId="27" fillId="9" borderId="11" xfId="0" applyFont="1" applyFill="1" applyBorder="1" applyAlignment="1">
      <alignment horizontal="left" vertical="center" wrapText="1"/>
    </xf>
    <xf numFmtId="0" fontId="24" fillId="10" borderId="12" xfId="0" applyFont="1" applyFill="1" applyBorder="1" applyAlignment="1">
      <alignment horizontal="left" vertical="center"/>
    </xf>
    <xf numFmtId="0" fontId="25" fillId="10" borderId="12" xfId="0" applyFont="1" applyFill="1" applyBorder="1" applyAlignment="1">
      <alignment horizontal="left" vertical="center"/>
    </xf>
    <xf numFmtId="3" fontId="25" fillId="10" borderId="12" xfId="0" applyNumberFormat="1" applyFont="1" applyFill="1" applyBorder="1" applyAlignment="1">
      <alignment horizontal="right" vertical="center"/>
    </xf>
    <xf numFmtId="0" fontId="29" fillId="2" borderId="12" xfId="0" applyFont="1" applyFill="1" applyBorder="1" applyAlignment="1">
      <alignment horizontal="left" vertical="center"/>
    </xf>
    <xf numFmtId="166" fontId="25" fillId="2" borderId="12" xfId="0" applyNumberFormat="1" applyFont="1" applyFill="1" applyBorder="1" applyAlignment="1">
      <alignment horizontal="right" vertical="center"/>
    </xf>
    <xf numFmtId="164" fontId="24" fillId="2" borderId="12" xfId="0" applyNumberFormat="1" applyFont="1" applyFill="1" applyBorder="1" applyAlignment="1">
      <alignment horizontal="right" vertical="center"/>
    </xf>
    <xf numFmtId="3" fontId="29" fillId="2" borderId="12" xfId="0" applyNumberFormat="1" applyFont="1" applyFill="1" applyBorder="1" applyAlignment="1">
      <alignment horizontal="right" vertical="center"/>
    </xf>
    <xf numFmtId="165" fontId="29" fillId="2" borderId="12" xfId="0" applyNumberFormat="1" applyFont="1" applyFill="1" applyBorder="1" applyAlignment="1">
      <alignment horizontal="right" vertical="center"/>
    </xf>
    <xf numFmtId="0" fontId="30" fillId="2" borderId="12" xfId="0" applyFont="1" applyFill="1" applyBorder="1" applyAlignment="1">
      <alignment horizontal="center" vertical="center"/>
    </xf>
    <xf numFmtId="0" fontId="29" fillId="5" borderId="12" xfId="0" applyFont="1" applyFill="1" applyBorder="1" applyAlignment="1">
      <alignment horizontal="left" vertical="center"/>
    </xf>
    <xf numFmtId="166" fontId="25" fillId="5" borderId="12" xfId="0" applyNumberFormat="1" applyFont="1" applyFill="1" applyBorder="1" applyAlignment="1">
      <alignment horizontal="right" vertical="center"/>
    </xf>
    <xf numFmtId="164" fontId="24" fillId="5" borderId="12" xfId="0" applyNumberFormat="1" applyFont="1" applyFill="1" applyBorder="1" applyAlignment="1">
      <alignment horizontal="right" vertical="center"/>
    </xf>
    <xf numFmtId="3" fontId="29" fillId="5" borderId="12" xfId="0" applyNumberFormat="1" applyFont="1" applyFill="1" applyBorder="1" applyAlignment="1">
      <alignment horizontal="right" vertical="center"/>
    </xf>
    <xf numFmtId="165" fontId="29" fillId="5" borderId="12" xfId="0" applyNumberFormat="1" applyFont="1" applyFill="1" applyBorder="1" applyAlignment="1">
      <alignment horizontal="right" vertical="center"/>
    </xf>
    <xf numFmtId="0" fontId="30" fillId="5" borderId="12" xfId="0" applyFont="1" applyFill="1" applyBorder="1" applyAlignment="1">
      <alignment horizontal="center" vertical="center"/>
    </xf>
    <xf numFmtId="164" fontId="31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7" fillId="4" borderId="0" xfId="0" applyFont="1" applyFill="1"/>
    <xf numFmtId="0" fontId="0" fillId="4" borderId="0" xfId="0" applyFill="1"/>
    <xf numFmtId="0" fontId="11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  <xf numFmtId="0" fontId="21" fillId="6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3" fontId="6" fillId="5" borderId="0" xfId="0" applyNumberFormat="1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8" fillId="9" borderId="0" xfId="0" applyFont="1" applyFill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ont>
        <b/>
        <color rgb="FF1B5E20"/>
      </font>
      <fill>
        <patternFill>
          <bgColor rgb="FFE8F5E9"/>
        </patternFill>
      </fill>
    </dxf>
    <dxf>
      <font>
        <b/>
        <color rgb="FF9C6500"/>
      </font>
      <fill>
        <patternFill>
          <bgColor rgb="FFFFF9C4"/>
        </patternFill>
      </fill>
    </dxf>
    <dxf>
      <font>
        <b/>
        <color rgb="FF9C0006"/>
      </font>
      <fill>
        <patternFill>
          <bgColor rgb="FFFFCDD2"/>
        </patternFill>
      </fill>
    </dxf>
  </dxfs>
  <tableStyles count="1" defaultTableStyle="TableStyleMedium2" defaultPivotStyle="PivotStyleLight16">
    <tableStyle name="Invisible" pivot="0" table="0" count="0" xr9:uid="{CAFBE837-4894-4ADD-BCDD-7768CFC091DB}"/>
  </table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9C0006"/>
      <rgbColor rgb="FF1B5E20"/>
      <rgbColor rgb="FF000080"/>
      <rgbColor rgb="FF9C6500"/>
      <rgbColor rgb="FF800080"/>
      <rgbColor rgb="FF008080"/>
      <rgbColor rgb="FFBBBBBB"/>
      <rgbColor rgb="FF888888"/>
      <rgbColor rgb="FF9999FF"/>
      <rgbColor rgb="FF993366"/>
      <rgbColor rgb="FFFFF9C4"/>
      <rgbColor rgb="FFE5F4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2"/>
      <rgbColor rgb="FFFFF2CC"/>
      <rgbColor rgb="FFE0E0E0"/>
      <rgbColor rgb="FFFF99CC"/>
      <rgbColor rgb="FFCC99FF"/>
      <rgbColor rgb="FFFFCDD2"/>
      <rgbColor rgb="FF2251FF"/>
      <rgbColor rgb="FF33CCCC"/>
      <rgbColor rgb="FF99CC00"/>
      <rgbColor rgb="FFFFC000"/>
      <rgbColor rgb="FFFF9900"/>
      <rgbColor rgb="FFE65100"/>
      <rgbColor rgb="FF666699"/>
      <rgbColor rgb="FFA0A0A0"/>
      <rgbColor rgb="FF134E64"/>
      <rgbColor rgb="FF339966"/>
      <rgbColor rgb="FF051C2C"/>
      <rgbColor rgb="FF5D4037"/>
      <rgbColor rgb="FFD32F2F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Config" displayName="tbl_Config" ref="B8:G18" totalsRowShown="0">
  <autoFilter ref="B8:G18" xr:uid="{00000000-0009-0000-0100-000003000000}"/>
  <tableColumns count="6">
    <tableColumn id="1" xr3:uid="{00000000-0010-0000-0000-000001000000}" name="SKU"/>
    <tableColumn id="2" xr3:uid="{00000000-0010-0000-0000-000002000000}" name="Product_Name"/>
    <tableColumn id="3" xr3:uid="{00000000-0010-0000-0000-000003000000}" name="Product_Category"/>
    <tableColumn id="4" xr3:uid="{00000000-0010-0000-0000-000004000000}" name="Unit_Cost"/>
    <tableColumn id="5" xr3:uid="{00000000-0010-0000-0000-000005000000}" name="SLA_Qty_Limit"/>
    <tableColumn id="6" xr3:uid="{00000000-0010-0000-0000-000006000000}" name="SLA_Pct_Lim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_Shopify" displayName="tbl_Shopify" ref="B8:E18" totalsRowShown="0">
  <autoFilter ref="B8:E18" xr:uid="{00000000-0009-0000-0100-000004000000}"/>
  <tableColumns count="4">
    <tableColumn id="1" xr3:uid="{00000000-0010-0000-0100-000001000000}" name="SKU"/>
    <tableColumn id="2" xr3:uid="{00000000-0010-0000-0100-000002000000}" name="Title"/>
    <tableColumn id="3" xr3:uid="{00000000-0010-0000-0100-000003000000}" name="Available_Qty"/>
    <tableColumn id="4" xr3:uid="{00000000-0010-0000-0100-000004000000}" name="On_Hand_Qt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_WMS" displayName="tbl_WMS" ref="B8:E18" totalsRowShown="0">
  <autoFilter ref="B8:E18" xr:uid="{00000000-0009-0000-0100-000005000000}"/>
  <tableColumns count="4">
    <tableColumn id="1" xr3:uid="{00000000-0010-0000-0200-000001000000}" name="SKU"/>
    <tableColumn id="2" xr3:uid="{00000000-0010-0000-0200-000002000000}" name="Location_ID"/>
    <tableColumn id="3" xr3:uid="{00000000-0010-0000-0200-000003000000}" name="WMS_Physical_Qty"/>
    <tableColumn id="4" xr3:uid="{00000000-0010-0000-0200-000004000000}" name="WMS_Allocated_Qt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bl_3PL" displayName="tbl_3PL" ref="B8:E18" totalsRowShown="0">
  <autoFilter ref="B8:E18" xr:uid="{00000000-0009-0000-0100-000001000000}"/>
  <tableColumns count="4">
    <tableColumn id="1" xr3:uid="{00000000-0010-0000-0300-000001000000}" name="Item_Code"/>
    <tableColumn id="2" xr3:uid="{00000000-0010-0000-0300-000002000000}" name="Total_Stock"/>
    <tableColumn id="3" xr3:uid="{00000000-0010-0000-0300-000003000000}" name="Damaged_Qty"/>
    <tableColumn id="4" xr3:uid="{00000000-0010-0000-0300-000004000000}" name="Available_Stock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bl_Calc" displayName="tbl_Calc" ref="B8:P18" totalsRowShown="0">
  <autoFilter ref="B8:P18" xr:uid="{00000000-0009-0000-0100-000002000000}"/>
  <tableColumns count="15">
    <tableColumn id="1" xr3:uid="{00000000-0010-0000-0400-000001000000}" name="Master_SKU"/>
    <tableColumn id="2" xr3:uid="{00000000-0010-0000-0400-000002000000}" name="Clean_SKU"/>
    <tableColumn id="3" xr3:uid="{00000000-0010-0000-0400-000003000000}" name="Unit_Cost"/>
    <tableColumn id="4" xr3:uid="{00000000-0010-0000-0400-000004000000}" name="Shopify_OnHand"/>
    <tableColumn id="5" xr3:uid="{00000000-0010-0000-0400-000005000000}" name="WMS_Physical"/>
    <tableColumn id="6" xr3:uid="{00000000-0010-0000-0400-000006000000}" name="3PL_Physical"/>
    <tableColumn id="7" xr3:uid="{00000000-0010-0000-0400-000007000000}" name="Var_Shopify_WMS"/>
    <tableColumn id="8" xr3:uid="{00000000-0010-0000-0400-000008000000}" name="Var_Shopify_3PL"/>
    <tableColumn id="9" xr3:uid="{00000000-0010-0000-0400-000009000000}" name="Loss_WMS"/>
    <tableColumn id="10" xr3:uid="{00000000-0010-0000-0400-00000A000000}" name="Loss_3PL"/>
    <tableColumn id="11" xr3:uid="{00000000-0010-0000-0400-00000B000000}" name="Total_Loss"/>
    <tableColumn id="12" xr3:uid="{00000000-0010-0000-0400-00000C000000}" name="Disc_Pct"/>
    <tableColumn id="13" xr3:uid="{00000000-0010-0000-0400-00000D000000}" name="SLA_Qty_Thresh"/>
    <tableColumn id="14" xr3:uid="{00000000-0010-0000-0400-00000E000000}" name="SLA_Pct_Thresh"/>
    <tableColumn id="15" xr3:uid="{00000000-0010-0000-0400-00000F000000}" name="SLA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Inventory_Reconciliation_Tool.xlsx" TargetMode="External"/><Relationship Id="rId2" Type="http://schemas.openxmlformats.org/officeDocument/2006/relationships/hyperlink" Target="Inventory_Reconciliation_Tool.xlsx" TargetMode="External"/><Relationship Id="rId1" Type="http://schemas.openxmlformats.org/officeDocument/2006/relationships/hyperlink" Target="Inventory_Reconciliation_Tool.xlsx" TargetMode="External"/><Relationship Id="rId5" Type="http://schemas.openxmlformats.org/officeDocument/2006/relationships/hyperlink" Target="Inventory_Reconciliation_Tool.xlsx" TargetMode="External"/><Relationship Id="rId4" Type="http://schemas.openxmlformats.org/officeDocument/2006/relationships/hyperlink" Target="Inventory_Reconciliation_Tool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Inventory_Reconciliation_Tool.xlsx" TargetMode="External"/><Relationship Id="rId2" Type="http://schemas.openxmlformats.org/officeDocument/2006/relationships/hyperlink" Target="Inventory_Reconciliation_Tool.xlsx" TargetMode="External"/><Relationship Id="rId1" Type="http://schemas.openxmlformats.org/officeDocument/2006/relationships/hyperlink" Target="Inventory_Reconciliation_Tool.xlsx" TargetMode="External"/><Relationship Id="rId6" Type="http://schemas.openxmlformats.org/officeDocument/2006/relationships/table" Target="../tables/table1.xml"/><Relationship Id="rId5" Type="http://schemas.openxmlformats.org/officeDocument/2006/relationships/hyperlink" Target="Inventory_Reconciliation_Tool.xlsx" TargetMode="External"/><Relationship Id="rId4" Type="http://schemas.openxmlformats.org/officeDocument/2006/relationships/hyperlink" Target="Inventory_Reconciliation_Tool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Inventory_Reconciliation_Tool.xlsx" TargetMode="External"/><Relationship Id="rId2" Type="http://schemas.openxmlformats.org/officeDocument/2006/relationships/hyperlink" Target="Inventory_Reconciliation_Tool.xlsx" TargetMode="External"/><Relationship Id="rId1" Type="http://schemas.openxmlformats.org/officeDocument/2006/relationships/hyperlink" Target="Inventory_Reconciliation_Tool.xlsx" TargetMode="External"/><Relationship Id="rId6" Type="http://schemas.openxmlformats.org/officeDocument/2006/relationships/table" Target="../tables/table2.xml"/><Relationship Id="rId5" Type="http://schemas.openxmlformats.org/officeDocument/2006/relationships/hyperlink" Target="Inventory_Reconciliation_Tool.xlsx" TargetMode="External"/><Relationship Id="rId4" Type="http://schemas.openxmlformats.org/officeDocument/2006/relationships/hyperlink" Target="Inventory_Reconciliation_Tool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Inventory_Reconciliation_Tool.xlsx" TargetMode="External"/><Relationship Id="rId2" Type="http://schemas.openxmlformats.org/officeDocument/2006/relationships/hyperlink" Target="Inventory_Reconciliation_Tool.xlsx" TargetMode="External"/><Relationship Id="rId1" Type="http://schemas.openxmlformats.org/officeDocument/2006/relationships/hyperlink" Target="Inventory_Reconciliation_Tool.xlsx" TargetMode="External"/><Relationship Id="rId6" Type="http://schemas.openxmlformats.org/officeDocument/2006/relationships/table" Target="../tables/table3.xml"/><Relationship Id="rId5" Type="http://schemas.openxmlformats.org/officeDocument/2006/relationships/hyperlink" Target="Inventory_Reconciliation_Tool.xlsx" TargetMode="External"/><Relationship Id="rId4" Type="http://schemas.openxmlformats.org/officeDocument/2006/relationships/hyperlink" Target="Inventory_Reconciliation_Tool.xlsx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Inventory_Reconciliation_Tool.xlsx" TargetMode="External"/><Relationship Id="rId2" Type="http://schemas.openxmlformats.org/officeDocument/2006/relationships/hyperlink" Target="Inventory_Reconciliation_Tool.xlsx" TargetMode="External"/><Relationship Id="rId1" Type="http://schemas.openxmlformats.org/officeDocument/2006/relationships/hyperlink" Target="Inventory_Reconciliation_Tool.xlsx" TargetMode="External"/><Relationship Id="rId6" Type="http://schemas.openxmlformats.org/officeDocument/2006/relationships/table" Target="../tables/table4.xml"/><Relationship Id="rId5" Type="http://schemas.openxmlformats.org/officeDocument/2006/relationships/hyperlink" Target="Inventory_Reconciliation_Tool.xlsx" TargetMode="External"/><Relationship Id="rId4" Type="http://schemas.openxmlformats.org/officeDocument/2006/relationships/hyperlink" Target="Inventory_Reconciliation_Tool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Inventory_Reconciliation_Tool.xlsx" TargetMode="External"/><Relationship Id="rId2" Type="http://schemas.openxmlformats.org/officeDocument/2006/relationships/hyperlink" Target="Inventory_Reconciliation_Tool.xlsx" TargetMode="External"/><Relationship Id="rId1" Type="http://schemas.openxmlformats.org/officeDocument/2006/relationships/hyperlink" Target="Inventory_Reconciliation_Tool.xlsx" TargetMode="External"/><Relationship Id="rId6" Type="http://schemas.openxmlformats.org/officeDocument/2006/relationships/table" Target="../tables/table5.xml"/><Relationship Id="rId5" Type="http://schemas.openxmlformats.org/officeDocument/2006/relationships/hyperlink" Target="Inventory_Reconciliation_Tool.xlsx" TargetMode="External"/><Relationship Id="rId4" Type="http://schemas.openxmlformats.org/officeDocument/2006/relationships/hyperlink" Target="Inventory_Reconciliation_Tool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51FF"/>
  </sheetPr>
  <dimension ref="A1:X72"/>
  <sheetViews>
    <sheetView showGridLines="0" showRowColHeaders="0" zoomScaleNormal="100" workbookViewId="0">
      <selection activeCell="G10" sqref="G10:J10"/>
    </sheetView>
  </sheetViews>
  <sheetFormatPr defaultColWidth="8.6640625" defaultRowHeight="14.25" x14ac:dyDescent="0.45"/>
  <cols>
    <col min="1" max="1" width="2" customWidth="1"/>
    <col min="2" max="5" width="13" customWidth="1"/>
    <col min="6" max="6" width="2" customWidth="1"/>
    <col min="7" max="10" width="13" customWidth="1"/>
    <col min="11" max="11" width="2" customWidth="1"/>
    <col min="12" max="15" width="13" customWidth="1"/>
    <col min="16" max="16" width="2" customWidth="1"/>
    <col min="17" max="20" width="13" customWidth="1"/>
    <col min="21" max="21" width="2" customWidth="1"/>
  </cols>
  <sheetData>
    <row r="1" spans="1:24" ht="7.5" customHeight="1" x14ac:dyDescent="0.4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25.5" customHeight="1" x14ac:dyDescent="0.45">
      <c r="A2" s="11"/>
      <c r="B2" s="55" t="s">
        <v>0</v>
      </c>
      <c r="C2" s="55"/>
      <c r="D2" s="55"/>
      <c r="E2" s="49" t="s">
        <v>1</v>
      </c>
      <c r="F2" s="49"/>
      <c r="G2" s="49"/>
      <c r="H2" s="49" t="s">
        <v>2</v>
      </c>
      <c r="I2" s="49"/>
      <c r="J2" s="49"/>
      <c r="K2" s="49" t="s">
        <v>3</v>
      </c>
      <c r="L2" s="49"/>
      <c r="M2" s="49"/>
      <c r="N2" s="49" t="s">
        <v>4</v>
      </c>
      <c r="O2" s="49"/>
      <c r="P2" s="49"/>
      <c r="Q2" s="49" t="s">
        <v>5</v>
      </c>
      <c r="R2" s="49"/>
      <c r="S2" s="49"/>
      <c r="T2" s="11"/>
      <c r="U2" s="11"/>
      <c r="V2" s="11"/>
      <c r="W2" s="11"/>
      <c r="X2" s="11"/>
    </row>
    <row r="3" spans="1:24" ht="4.5" customHeight="1" x14ac:dyDescent="0.45">
      <c r="A3" s="11"/>
      <c r="B3" s="50"/>
      <c r="C3" s="51"/>
      <c r="D3" s="5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9.75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t="37.5" customHeight="1" x14ac:dyDescent="0.45">
      <c r="A5" s="10"/>
      <c r="B5" s="67" t="s">
        <v>6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10"/>
      <c r="V5" s="10"/>
      <c r="W5" s="10"/>
      <c r="X5" s="10"/>
    </row>
    <row r="6" spans="1:24" x14ac:dyDescent="0.4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24" customHeight="1" x14ac:dyDescent="0.45">
      <c r="A7" s="10"/>
      <c r="B7" s="61" t="s">
        <v>7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10"/>
      <c r="V7" s="10"/>
      <c r="W7" s="10"/>
      <c r="X7" s="10"/>
    </row>
    <row r="8" spans="1:24" ht="3" customHeight="1" x14ac:dyDescent="0.4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0"/>
      <c r="V8" s="10"/>
      <c r="W8" s="10"/>
      <c r="X8" s="10"/>
    </row>
    <row r="9" spans="1:24" ht="13.5" customHeight="1" x14ac:dyDescent="0.45">
      <c r="A9" s="10"/>
      <c r="B9" s="68" t="s">
        <v>8</v>
      </c>
      <c r="C9" s="69"/>
      <c r="D9" s="69"/>
      <c r="E9" s="69"/>
      <c r="F9" s="10"/>
      <c r="G9" s="68" t="s">
        <v>9</v>
      </c>
      <c r="H9" s="69"/>
      <c r="I9" s="69"/>
      <c r="J9" s="69"/>
      <c r="K9" s="10"/>
      <c r="L9" s="68" t="s">
        <v>10</v>
      </c>
      <c r="M9" s="69"/>
      <c r="N9" s="69"/>
      <c r="O9" s="69"/>
      <c r="P9" s="10"/>
      <c r="Q9" s="68" t="s">
        <v>11</v>
      </c>
      <c r="R9" s="69"/>
      <c r="S9" s="69"/>
      <c r="T9" s="69"/>
      <c r="U9" s="10"/>
      <c r="V9" s="10"/>
      <c r="W9" s="10"/>
      <c r="X9" s="10"/>
    </row>
    <row r="10" spans="1:24" ht="42" customHeight="1" x14ac:dyDescent="0.45">
      <c r="A10" s="10"/>
      <c r="B10" s="62">
        <f>COUNTA('06_Calc_Engine'!B9:B1001)</f>
        <v>12</v>
      </c>
      <c r="C10" s="62"/>
      <c r="D10" s="62"/>
      <c r="E10" s="62"/>
      <c r="F10" s="10"/>
      <c r="G10" s="62">
        <f>SUMPRODUCT((ISNUMBER('06_Calc_Engine'!H9:H1001))*ABS('06_Calc_Engine'!H9:H1001))+SUMPRODUCT((ISNUMBER('06_Calc_Engine'!I9:I1001))*ABS('06_Calc_Engine'!I9:I1001))</f>
        <v>49</v>
      </c>
      <c r="H10" s="62"/>
      <c r="I10" s="62"/>
      <c r="J10" s="62"/>
      <c r="K10" s="10"/>
      <c r="L10" s="63">
        <f>SUM('06_Calc_Engine'!L9:L1001)</f>
        <v>3474</v>
      </c>
      <c r="M10" s="63"/>
      <c r="N10" s="63"/>
      <c r="O10" s="63"/>
      <c r="P10" s="10"/>
      <c r="Q10" s="64">
        <f>IFERROR(1-SUMPRODUCT((ISNUMBER('06_Calc_Engine'!H9:H1001))*ABS('06_Calc_Engine'!H9:H1001))/SUM('06_Calc_Engine'!E9:E1001),0)</f>
        <v>0.97866666666666668</v>
      </c>
      <c r="R10" s="64"/>
      <c r="S10" s="64"/>
      <c r="T10" s="64"/>
      <c r="U10" s="10"/>
      <c r="V10" s="10"/>
      <c r="W10" s="10"/>
      <c r="X10" s="10"/>
    </row>
    <row r="11" spans="1:24" ht="13.5" customHeight="1" x14ac:dyDescent="0.45">
      <c r="A11" s="10"/>
      <c r="B11" s="65" t="s">
        <v>12</v>
      </c>
      <c r="C11" s="66"/>
      <c r="D11" s="66"/>
      <c r="E11" s="66"/>
      <c r="F11" s="10"/>
      <c r="G11" s="65" t="s">
        <v>13</v>
      </c>
      <c r="H11" s="66"/>
      <c r="I11" s="66"/>
      <c r="J11" s="66"/>
      <c r="K11" s="10"/>
      <c r="L11" s="65" t="s">
        <v>14</v>
      </c>
      <c r="M11" s="66"/>
      <c r="N11" s="66"/>
      <c r="O11" s="66"/>
      <c r="P11" s="10"/>
      <c r="Q11" s="65" t="s">
        <v>15</v>
      </c>
      <c r="R11" s="66"/>
      <c r="S11" s="66"/>
      <c r="T11" s="66"/>
      <c r="U11" s="10"/>
      <c r="V11" s="10"/>
      <c r="W11" s="10"/>
      <c r="X11" s="10"/>
    </row>
    <row r="12" spans="1:24" ht="9.75" customHeight="1" x14ac:dyDescent="0.4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24" customHeight="1" x14ac:dyDescent="0.45">
      <c r="A13" s="10"/>
      <c r="B13" s="61" t="s">
        <v>16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10"/>
      <c r="V13" s="10"/>
      <c r="W13" s="10"/>
      <c r="X13" s="10"/>
    </row>
    <row r="14" spans="1:24" ht="3" customHeight="1" x14ac:dyDescent="0.4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0"/>
      <c r="V14" s="10"/>
      <c r="W14" s="10"/>
      <c r="X14" s="10"/>
    </row>
    <row r="15" spans="1:24" ht="18.75" customHeight="1" x14ac:dyDescent="0.45">
      <c r="A15" s="10"/>
      <c r="B15" s="58" t="s">
        <v>17</v>
      </c>
      <c r="C15" s="59"/>
      <c r="D15" s="59"/>
      <c r="E15" s="59"/>
      <c r="F15" s="59"/>
      <c r="G15" s="59"/>
      <c r="H15" s="59"/>
      <c r="I15" s="59"/>
      <c r="J15" s="59"/>
      <c r="K15" s="10"/>
      <c r="L15" s="58" t="s">
        <v>18</v>
      </c>
      <c r="M15" s="59"/>
      <c r="N15" s="59"/>
      <c r="O15" s="59"/>
      <c r="P15" s="59"/>
      <c r="Q15" s="59"/>
      <c r="R15" s="59"/>
      <c r="S15" s="59"/>
      <c r="T15" s="59"/>
      <c r="U15" s="10"/>
      <c r="V15" s="10"/>
      <c r="W15" s="10"/>
      <c r="X15" s="10"/>
    </row>
    <row r="16" spans="1:24" ht="18.75" customHeight="1" x14ac:dyDescent="0.45">
      <c r="A16" s="10"/>
      <c r="B16" s="56" t="s">
        <v>19</v>
      </c>
      <c r="C16" s="57"/>
      <c r="D16" s="57"/>
      <c r="E16" s="57"/>
      <c r="F16" s="57"/>
      <c r="G16" s="57"/>
      <c r="H16" s="57"/>
      <c r="I16" s="57"/>
      <c r="J16" s="57"/>
      <c r="K16" s="10"/>
      <c r="L16" s="56" t="s">
        <v>20</v>
      </c>
      <c r="M16" s="57"/>
      <c r="N16" s="57"/>
      <c r="O16" s="57"/>
      <c r="P16" s="57"/>
      <c r="Q16" s="57"/>
      <c r="R16" s="57"/>
      <c r="S16" s="57"/>
      <c r="T16" s="57"/>
      <c r="U16" s="10"/>
      <c r="V16" s="10"/>
      <c r="W16" s="10"/>
      <c r="X16" s="10"/>
    </row>
    <row r="17" spans="1:24" ht="18.75" customHeight="1" x14ac:dyDescent="0.45">
      <c r="A17" s="10"/>
      <c r="B17" s="56" t="s">
        <v>21</v>
      </c>
      <c r="C17" s="57"/>
      <c r="D17" s="57"/>
      <c r="E17" s="57"/>
      <c r="F17" s="57"/>
      <c r="G17" s="57"/>
      <c r="H17" s="57"/>
      <c r="I17" s="57"/>
      <c r="J17" s="57"/>
      <c r="K17" s="10"/>
      <c r="L17" s="56" t="s">
        <v>22</v>
      </c>
      <c r="M17" s="57"/>
      <c r="N17" s="57"/>
      <c r="O17" s="57"/>
      <c r="P17" s="57"/>
      <c r="Q17" s="57"/>
      <c r="R17" s="57"/>
      <c r="S17" s="57"/>
      <c r="T17" s="57"/>
      <c r="U17" s="10"/>
      <c r="V17" s="10"/>
      <c r="W17" s="10"/>
      <c r="X17" s="10"/>
    </row>
    <row r="18" spans="1:24" ht="18.75" customHeight="1" x14ac:dyDescent="0.45">
      <c r="A18" s="10"/>
      <c r="B18" s="56" t="s">
        <v>23</v>
      </c>
      <c r="C18" s="57"/>
      <c r="D18" s="57"/>
      <c r="E18" s="57"/>
      <c r="F18" s="57"/>
      <c r="G18" s="57"/>
      <c r="H18" s="57"/>
      <c r="I18" s="57"/>
      <c r="J18" s="57"/>
      <c r="K18" s="10"/>
      <c r="L18" s="56" t="s">
        <v>24</v>
      </c>
      <c r="M18" s="57"/>
      <c r="N18" s="57"/>
      <c r="O18" s="57"/>
      <c r="P18" s="57"/>
      <c r="Q18" s="57"/>
      <c r="R18" s="57"/>
      <c r="S18" s="57"/>
      <c r="T18" s="57"/>
      <c r="U18" s="10"/>
      <c r="V18" s="10"/>
      <c r="W18" s="10"/>
      <c r="X18" s="10"/>
    </row>
    <row r="19" spans="1:24" ht="18.75" customHeight="1" x14ac:dyDescent="0.45">
      <c r="A19" s="10"/>
      <c r="B19" s="56" t="s">
        <v>25</v>
      </c>
      <c r="C19" s="57"/>
      <c r="D19" s="57"/>
      <c r="E19" s="57"/>
      <c r="F19" s="57"/>
      <c r="G19" s="57"/>
      <c r="H19" s="57"/>
      <c r="I19" s="57"/>
      <c r="J19" s="57"/>
      <c r="K19" s="10"/>
      <c r="L19" s="56" t="s">
        <v>26</v>
      </c>
      <c r="M19" s="57"/>
      <c r="N19" s="57"/>
      <c r="O19" s="57"/>
      <c r="P19" s="57"/>
      <c r="Q19" s="57"/>
      <c r="R19" s="57"/>
      <c r="S19" s="57"/>
      <c r="T19" s="57"/>
      <c r="U19" s="10"/>
      <c r="V19" s="10"/>
      <c r="W19" s="10"/>
      <c r="X19" s="10"/>
    </row>
    <row r="20" spans="1:24" ht="18.75" customHeight="1" x14ac:dyDescent="0.45">
      <c r="A20" s="10"/>
      <c r="B20" s="56" t="s">
        <v>27</v>
      </c>
      <c r="C20" s="57"/>
      <c r="D20" s="57"/>
      <c r="E20" s="57"/>
      <c r="F20" s="57"/>
      <c r="G20" s="57"/>
      <c r="H20" s="57"/>
      <c r="I20" s="57"/>
      <c r="J20" s="57"/>
      <c r="K20" s="10"/>
      <c r="L20" s="56" t="s">
        <v>28</v>
      </c>
      <c r="M20" s="57"/>
      <c r="N20" s="57"/>
      <c r="O20" s="57"/>
      <c r="P20" s="57"/>
      <c r="Q20" s="57"/>
      <c r="R20" s="57"/>
      <c r="S20" s="57"/>
      <c r="T20" s="57"/>
      <c r="U20" s="10"/>
      <c r="V20" s="10"/>
      <c r="W20" s="10"/>
      <c r="X20" s="10"/>
    </row>
    <row r="21" spans="1:24" ht="18.75" customHeight="1" x14ac:dyDescent="0.45">
      <c r="A21" s="10"/>
      <c r="B21" s="56" t="s">
        <v>29</v>
      </c>
      <c r="C21" s="57"/>
      <c r="D21" s="57"/>
      <c r="E21" s="57"/>
      <c r="F21" s="57"/>
      <c r="G21" s="57"/>
      <c r="H21" s="57"/>
      <c r="I21" s="57"/>
      <c r="J21" s="57"/>
      <c r="K21" s="10"/>
      <c r="L21" s="56"/>
      <c r="M21" s="57"/>
      <c r="N21" s="57"/>
      <c r="O21" s="57"/>
      <c r="P21" s="57"/>
      <c r="Q21" s="57"/>
      <c r="R21" s="57"/>
      <c r="S21" s="57"/>
      <c r="T21" s="57"/>
      <c r="U21" s="10"/>
      <c r="V21" s="10"/>
      <c r="W21" s="10"/>
      <c r="X21" s="10"/>
    </row>
    <row r="22" spans="1:24" ht="18.75" customHeight="1" x14ac:dyDescent="0.45">
      <c r="A22" s="10"/>
      <c r="B22" s="56"/>
      <c r="C22" s="57"/>
      <c r="D22" s="57"/>
      <c r="E22" s="57"/>
      <c r="F22" s="57"/>
      <c r="G22" s="57"/>
      <c r="H22" s="57"/>
      <c r="I22" s="57"/>
      <c r="J22" s="57"/>
      <c r="K22" s="10"/>
      <c r="L22" s="56" t="s">
        <v>30</v>
      </c>
      <c r="M22" s="57"/>
      <c r="N22" s="57"/>
      <c r="O22" s="57"/>
      <c r="P22" s="57"/>
      <c r="Q22" s="57"/>
      <c r="R22" s="57"/>
      <c r="S22" s="57"/>
      <c r="T22" s="57"/>
      <c r="U22" s="10"/>
      <c r="V22" s="10"/>
      <c r="W22" s="10"/>
      <c r="X22" s="10"/>
    </row>
    <row r="23" spans="1:24" ht="18.75" customHeight="1" x14ac:dyDescent="0.45">
      <c r="A23" s="10"/>
      <c r="B23" s="56" t="s">
        <v>30</v>
      </c>
      <c r="C23" s="57"/>
      <c r="D23" s="57"/>
      <c r="E23" s="57"/>
      <c r="F23" s="57"/>
      <c r="G23" s="57"/>
      <c r="H23" s="57"/>
      <c r="I23" s="57"/>
      <c r="J23" s="57"/>
      <c r="K23" s="10"/>
      <c r="L23" s="56" t="s">
        <v>31</v>
      </c>
      <c r="M23" s="57"/>
      <c r="N23" s="57"/>
      <c r="O23" s="57"/>
      <c r="P23" s="57"/>
      <c r="Q23" s="57"/>
      <c r="R23" s="57"/>
      <c r="S23" s="57"/>
      <c r="T23" s="57"/>
      <c r="U23" s="10"/>
      <c r="V23" s="10"/>
      <c r="W23" s="10"/>
      <c r="X23" s="10"/>
    </row>
    <row r="24" spans="1:24" ht="18.75" customHeight="1" x14ac:dyDescent="0.45">
      <c r="A24" s="10"/>
      <c r="B24" s="56" t="s">
        <v>32</v>
      </c>
      <c r="C24" s="57"/>
      <c r="D24" s="57"/>
      <c r="E24" s="57"/>
      <c r="F24" s="57"/>
      <c r="G24" s="57"/>
      <c r="H24" s="57"/>
      <c r="I24" s="57"/>
      <c r="J24" s="57"/>
      <c r="K24" s="10"/>
      <c r="L24" s="56" t="s">
        <v>33</v>
      </c>
      <c r="M24" s="57"/>
      <c r="N24" s="57"/>
      <c r="O24" s="57"/>
      <c r="P24" s="57"/>
      <c r="Q24" s="57"/>
      <c r="R24" s="57"/>
      <c r="S24" s="57"/>
      <c r="T24" s="57"/>
      <c r="U24" s="10"/>
      <c r="V24" s="10"/>
      <c r="W24" s="10"/>
      <c r="X24" s="10"/>
    </row>
    <row r="25" spans="1:24" ht="18.75" customHeight="1" x14ac:dyDescent="0.45">
      <c r="A25" s="10"/>
      <c r="B25" s="56" t="s">
        <v>34</v>
      </c>
      <c r="C25" s="57"/>
      <c r="D25" s="57"/>
      <c r="E25" s="57"/>
      <c r="F25" s="57"/>
      <c r="G25" s="57"/>
      <c r="H25" s="57"/>
      <c r="I25" s="57"/>
      <c r="J25" s="57"/>
      <c r="K25" s="10"/>
      <c r="L25" s="56" t="s">
        <v>35</v>
      </c>
      <c r="M25" s="57"/>
      <c r="N25" s="57"/>
      <c r="O25" s="57"/>
      <c r="P25" s="57"/>
      <c r="Q25" s="57"/>
      <c r="R25" s="57"/>
      <c r="S25" s="57"/>
      <c r="T25" s="57"/>
      <c r="U25" s="10"/>
      <c r="V25" s="10"/>
      <c r="W25" s="10"/>
      <c r="X25" s="10"/>
    </row>
    <row r="26" spans="1:24" ht="18.75" customHeight="1" x14ac:dyDescent="0.45">
      <c r="A26" s="10"/>
      <c r="B26" s="56" t="s">
        <v>36</v>
      </c>
      <c r="C26" s="57"/>
      <c r="D26" s="57"/>
      <c r="E26" s="57"/>
      <c r="F26" s="57"/>
      <c r="G26" s="57"/>
      <c r="H26" s="57"/>
      <c r="I26" s="57"/>
      <c r="J26" s="57"/>
      <c r="K26" s="10"/>
      <c r="L26" s="56" t="s">
        <v>37</v>
      </c>
      <c r="M26" s="57"/>
      <c r="N26" s="57"/>
      <c r="O26" s="57"/>
      <c r="P26" s="57"/>
      <c r="Q26" s="57"/>
      <c r="R26" s="57"/>
      <c r="S26" s="57"/>
      <c r="T26" s="57"/>
      <c r="U26" s="10"/>
      <c r="V26" s="10"/>
      <c r="W26" s="10"/>
      <c r="X26" s="10"/>
    </row>
    <row r="27" spans="1:24" ht="18.75" customHeight="1" x14ac:dyDescent="0.45">
      <c r="A27" s="10"/>
      <c r="B27" s="56" t="s">
        <v>38</v>
      </c>
      <c r="C27" s="57"/>
      <c r="D27" s="57"/>
      <c r="E27" s="57"/>
      <c r="F27" s="57"/>
      <c r="G27" s="57"/>
      <c r="H27" s="57"/>
      <c r="I27" s="57"/>
      <c r="J27" s="57"/>
      <c r="K27" s="10"/>
      <c r="L27" s="56" t="s">
        <v>39</v>
      </c>
      <c r="M27" s="57"/>
      <c r="N27" s="57"/>
      <c r="O27" s="57"/>
      <c r="P27" s="57"/>
      <c r="Q27" s="57"/>
      <c r="R27" s="57"/>
      <c r="S27" s="57"/>
      <c r="T27" s="57"/>
      <c r="U27" s="10"/>
      <c r="V27" s="10"/>
      <c r="W27" s="10"/>
      <c r="X27" s="10"/>
    </row>
    <row r="28" spans="1:24" ht="18.75" customHeight="1" x14ac:dyDescent="0.45">
      <c r="A28" s="10"/>
      <c r="B28" s="56" t="s">
        <v>40</v>
      </c>
      <c r="C28" s="57"/>
      <c r="D28" s="57"/>
      <c r="E28" s="57"/>
      <c r="F28" s="57"/>
      <c r="G28" s="57"/>
      <c r="H28" s="57"/>
      <c r="I28" s="57"/>
      <c r="J28" s="57"/>
      <c r="K28" s="10"/>
      <c r="L28" s="56" t="s">
        <v>41</v>
      </c>
      <c r="M28" s="57"/>
      <c r="N28" s="57"/>
      <c r="O28" s="57"/>
      <c r="P28" s="57"/>
      <c r="Q28" s="57"/>
      <c r="R28" s="57"/>
      <c r="S28" s="57"/>
      <c r="T28" s="57"/>
      <c r="U28" s="10"/>
      <c r="V28" s="10"/>
      <c r="W28" s="10"/>
      <c r="X28" s="10"/>
    </row>
    <row r="29" spans="1:24" ht="18.75" customHeight="1" x14ac:dyDescent="0.45">
      <c r="A29" s="10"/>
      <c r="B29" s="56" t="s">
        <v>42</v>
      </c>
      <c r="C29" s="57"/>
      <c r="D29" s="57"/>
      <c r="E29" s="57"/>
      <c r="F29" s="57"/>
      <c r="G29" s="57"/>
      <c r="H29" s="57"/>
      <c r="I29" s="57"/>
      <c r="J29" s="57"/>
      <c r="K29" s="10"/>
      <c r="L29" s="12"/>
      <c r="M29" s="13"/>
      <c r="N29" s="13"/>
      <c r="O29" s="13"/>
      <c r="P29" s="13"/>
      <c r="Q29" s="13"/>
      <c r="R29" s="13"/>
      <c r="S29" s="13"/>
      <c r="T29" s="14"/>
      <c r="U29" s="10"/>
      <c r="V29" s="10"/>
      <c r="W29" s="10"/>
      <c r="X29" s="10"/>
    </row>
    <row r="30" spans="1:24" ht="18.75" customHeight="1" x14ac:dyDescent="0.45">
      <c r="A30" s="10"/>
      <c r="B30" s="12"/>
      <c r="C30" s="13"/>
      <c r="D30" s="13"/>
      <c r="E30" s="13"/>
      <c r="F30" s="13"/>
      <c r="G30" s="13"/>
      <c r="H30" s="13"/>
      <c r="I30" s="13"/>
      <c r="J30" s="14"/>
      <c r="K30" s="10"/>
      <c r="L30" s="12"/>
      <c r="M30" s="13"/>
      <c r="N30" s="13"/>
      <c r="O30" s="13"/>
      <c r="P30" s="13"/>
      <c r="Q30" s="13"/>
      <c r="R30" s="13"/>
      <c r="S30" s="13"/>
      <c r="T30" s="14"/>
      <c r="U30" s="10"/>
      <c r="V30" s="10"/>
      <c r="W30" s="10"/>
      <c r="X30" s="10"/>
    </row>
    <row r="31" spans="1:24" ht="18.75" customHeight="1" x14ac:dyDescent="0.45">
      <c r="A31" s="10"/>
      <c r="B31" s="12"/>
      <c r="C31" s="13"/>
      <c r="D31" s="13"/>
      <c r="E31" s="13"/>
      <c r="F31" s="13"/>
      <c r="G31" s="13"/>
      <c r="H31" s="13"/>
      <c r="I31" s="13"/>
      <c r="J31" s="14"/>
      <c r="K31" s="10"/>
      <c r="L31" s="12"/>
      <c r="M31" s="13"/>
      <c r="N31" s="13"/>
      <c r="O31" s="13"/>
      <c r="P31" s="13"/>
      <c r="Q31" s="13"/>
      <c r="R31" s="13"/>
      <c r="S31" s="13"/>
      <c r="T31" s="14"/>
      <c r="U31" s="10"/>
      <c r="V31" s="10"/>
      <c r="W31" s="10"/>
      <c r="X31" s="10"/>
    </row>
    <row r="32" spans="1:24" ht="18.75" customHeight="1" x14ac:dyDescent="0.45">
      <c r="A32" s="10"/>
      <c r="B32" s="15"/>
      <c r="C32" s="16"/>
      <c r="D32" s="16"/>
      <c r="E32" s="16"/>
      <c r="F32" s="16"/>
      <c r="G32" s="16"/>
      <c r="H32" s="16"/>
      <c r="I32" s="16"/>
      <c r="J32" s="17"/>
      <c r="K32" s="10"/>
      <c r="L32" s="15"/>
      <c r="M32" s="16"/>
      <c r="N32" s="16"/>
      <c r="O32" s="16"/>
      <c r="P32" s="16"/>
      <c r="Q32" s="16"/>
      <c r="R32" s="16"/>
      <c r="S32" s="16"/>
      <c r="T32" s="17"/>
      <c r="U32" s="10"/>
      <c r="V32" s="10"/>
      <c r="W32" s="10"/>
      <c r="X32" s="10"/>
    </row>
    <row r="33" spans="1:24" ht="9.75" customHeight="1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ht="24" customHeight="1" x14ac:dyDescent="0.45">
      <c r="A34" s="10"/>
      <c r="B34" s="60" t="s">
        <v>43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10"/>
      <c r="V34" s="10"/>
      <c r="W34" s="10"/>
      <c r="X34" s="10"/>
    </row>
    <row r="35" spans="1:24" ht="3" customHeight="1" x14ac:dyDescent="0.4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0"/>
      <c r="V35" s="10"/>
      <c r="W35" s="10"/>
      <c r="X35" s="10"/>
    </row>
    <row r="36" spans="1:24" ht="18.75" customHeight="1" x14ac:dyDescent="0.45">
      <c r="A36" s="10"/>
      <c r="B36" s="58" t="s">
        <v>44</v>
      </c>
      <c r="C36" s="59"/>
      <c r="D36" s="59"/>
      <c r="E36" s="59"/>
      <c r="F36" s="59"/>
      <c r="G36" s="59"/>
      <c r="H36" s="5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8.75" customHeight="1" x14ac:dyDescent="0.45">
      <c r="A37" s="10"/>
      <c r="B37" s="56" t="s">
        <v>45</v>
      </c>
      <c r="C37" s="57"/>
      <c r="D37" s="57"/>
      <c r="E37" s="57"/>
      <c r="F37" s="57"/>
      <c r="G37" s="57"/>
      <c r="H37" s="57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8.75" customHeight="1" x14ac:dyDescent="0.45">
      <c r="A38" s="10"/>
      <c r="B38" s="56" t="s">
        <v>46</v>
      </c>
      <c r="C38" s="57"/>
      <c r="D38" s="57"/>
      <c r="E38" s="57"/>
      <c r="F38" s="57"/>
      <c r="G38" s="57"/>
      <c r="H38" s="57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8.75" customHeight="1" x14ac:dyDescent="0.45">
      <c r="A39" s="10"/>
      <c r="B39" s="56" t="s">
        <v>47</v>
      </c>
      <c r="C39" s="57"/>
      <c r="D39" s="57"/>
      <c r="E39" s="57"/>
      <c r="F39" s="57"/>
      <c r="G39" s="57"/>
      <c r="H39" s="57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8.75" customHeight="1" x14ac:dyDescent="0.45">
      <c r="A40" s="10"/>
      <c r="B40" s="56" t="s">
        <v>48</v>
      </c>
      <c r="C40" s="57"/>
      <c r="D40" s="57"/>
      <c r="E40" s="57"/>
      <c r="F40" s="57"/>
      <c r="G40" s="57"/>
      <c r="H40" s="57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8.75" customHeight="1" x14ac:dyDescent="0.45">
      <c r="A41" s="10"/>
      <c r="B41" s="56" t="s">
        <v>49</v>
      </c>
      <c r="C41" s="57"/>
      <c r="D41" s="57"/>
      <c r="E41" s="57"/>
      <c r="F41" s="57"/>
      <c r="G41" s="57"/>
      <c r="H41" s="57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8.75" customHeight="1" x14ac:dyDescent="0.45">
      <c r="A42" s="10"/>
      <c r="B42" s="15"/>
      <c r="C42" s="16"/>
      <c r="D42" s="16"/>
      <c r="E42" s="16"/>
      <c r="F42" s="16"/>
      <c r="G42" s="16"/>
      <c r="H42" s="17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8.75" customHeight="1" x14ac:dyDescent="0.45">
      <c r="A43" s="10"/>
      <c r="B43" s="58" t="s">
        <v>50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10"/>
      <c r="V43" s="10"/>
      <c r="W43" s="10"/>
      <c r="X43" s="10"/>
    </row>
    <row r="44" spans="1:24" ht="18.75" customHeight="1" x14ac:dyDescent="0.45">
      <c r="A44" s="10"/>
      <c r="B44" s="56" t="s">
        <v>51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10"/>
      <c r="V44" s="10"/>
      <c r="W44" s="10"/>
      <c r="X44" s="10"/>
    </row>
    <row r="45" spans="1:24" ht="18.75" customHeight="1" x14ac:dyDescent="0.45">
      <c r="A45" s="10"/>
      <c r="B45" s="56" t="s">
        <v>52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10"/>
      <c r="V45" s="10"/>
      <c r="W45" s="10"/>
      <c r="X45" s="10"/>
    </row>
    <row r="46" spans="1:24" ht="18.75" customHeight="1" x14ac:dyDescent="0.45">
      <c r="A46" s="10"/>
      <c r="B46" s="56" t="s">
        <v>53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10"/>
      <c r="V46" s="10"/>
      <c r="W46" s="10"/>
      <c r="X46" s="10"/>
    </row>
    <row r="47" spans="1:24" ht="18.75" customHeight="1" x14ac:dyDescent="0.45">
      <c r="A47" s="10"/>
      <c r="B47" s="56" t="s">
        <v>54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10"/>
      <c r="V47" s="10"/>
      <c r="W47" s="10"/>
      <c r="X47" s="10"/>
    </row>
    <row r="48" spans="1:24" ht="18.75" customHeight="1" x14ac:dyDescent="0.45">
      <c r="A48" s="10"/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10"/>
      <c r="V48" s="10"/>
      <c r="W48" s="10"/>
      <c r="X48" s="10"/>
    </row>
    <row r="49" spans="1:24" ht="18.75" customHeight="1" x14ac:dyDescent="0.45">
      <c r="A49" s="10"/>
      <c r="B49" s="56" t="s">
        <v>55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10"/>
      <c r="V49" s="10"/>
      <c r="W49" s="10"/>
      <c r="X49" s="10"/>
    </row>
    <row r="50" spans="1:24" ht="18.75" customHeight="1" x14ac:dyDescent="0.45">
      <c r="A50" s="10"/>
      <c r="B50" s="56" t="s">
        <v>56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10"/>
      <c r="V50" s="10"/>
      <c r="W50" s="10"/>
      <c r="X50" s="10"/>
    </row>
    <row r="51" spans="1:24" ht="18.75" customHeight="1" x14ac:dyDescent="0.45">
      <c r="A51" s="10"/>
      <c r="B51" s="56" t="s">
        <v>57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10"/>
      <c r="V51" s="10"/>
      <c r="W51" s="10"/>
      <c r="X51" s="10"/>
    </row>
    <row r="52" spans="1:24" ht="18.75" customHeight="1" x14ac:dyDescent="0.45">
      <c r="A52" s="10"/>
      <c r="B52" s="56" t="s">
        <v>58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10"/>
      <c r="V52" s="10"/>
      <c r="W52" s="10"/>
      <c r="X52" s="10"/>
    </row>
    <row r="53" spans="1:24" ht="18.75" customHeight="1" x14ac:dyDescent="0.45">
      <c r="A53" s="10"/>
      <c r="B53" s="56" t="s">
        <v>59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10"/>
      <c r="V53" s="10"/>
      <c r="W53" s="10"/>
      <c r="X53" s="10"/>
    </row>
    <row r="54" spans="1:24" ht="18.75" customHeight="1" x14ac:dyDescent="0.45">
      <c r="A54" s="10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10"/>
      <c r="V54" s="10"/>
      <c r="W54" s="10"/>
      <c r="X54" s="10"/>
    </row>
    <row r="55" spans="1:24" ht="18.75" customHeight="1" x14ac:dyDescent="0.45">
      <c r="A55" s="10"/>
      <c r="B55" s="56" t="s">
        <v>60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10"/>
      <c r="V55" s="10"/>
      <c r="W55" s="10"/>
      <c r="X55" s="10"/>
    </row>
    <row r="56" spans="1:24" ht="18.75" customHeight="1" x14ac:dyDescent="0.45">
      <c r="A56" s="10"/>
      <c r="B56" s="56" t="s">
        <v>61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10"/>
      <c r="V56" s="10"/>
      <c r="W56" s="10"/>
      <c r="X56" s="10"/>
    </row>
    <row r="57" spans="1:24" ht="18.75" customHeight="1" x14ac:dyDescent="0.45">
      <c r="A57" s="10"/>
      <c r="B57" s="56" t="s">
        <v>62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10"/>
      <c r="V57" s="10"/>
      <c r="W57" s="10"/>
      <c r="X57" s="10"/>
    </row>
    <row r="58" spans="1:24" ht="18.75" customHeight="1" x14ac:dyDescent="0.45">
      <c r="A58" s="10"/>
      <c r="B58" s="56" t="s">
        <v>63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10"/>
      <c r="V58" s="10"/>
      <c r="W58" s="10"/>
      <c r="X58" s="10"/>
    </row>
    <row r="59" spans="1:24" ht="18.75" customHeight="1" x14ac:dyDescent="0.45">
      <c r="A59" s="10"/>
      <c r="B59" s="56" t="s">
        <v>64</v>
      </c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10"/>
      <c r="V59" s="10"/>
      <c r="W59" s="10"/>
      <c r="X59" s="10"/>
    </row>
    <row r="60" spans="1:24" ht="18.75" customHeight="1" x14ac:dyDescent="0.45">
      <c r="A60" s="10"/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4"/>
      <c r="U60" s="10"/>
      <c r="V60" s="10"/>
      <c r="W60" s="10"/>
      <c r="X60" s="10"/>
    </row>
    <row r="61" spans="1:24" ht="18.75" customHeight="1" x14ac:dyDescent="0.45">
      <c r="A61" s="10"/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4"/>
      <c r="U61" s="10"/>
      <c r="V61" s="10"/>
      <c r="W61" s="10"/>
      <c r="X61" s="10"/>
    </row>
    <row r="62" spans="1:24" ht="18.75" customHeight="1" x14ac:dyDescent="0.45">
      <c r="A62" s="10"/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4"/>
      <c r="U62" s="10"/>
      <c r="V62" s="10"/>
      <c r="W62" s="10"/>
      <c r="X62" s="10"/>
    </row>
    <row r="63" spans="1:24" ht="18.75" customHeight="1" x14ac:dyDescent="0.45">
      <c r="A63" s="10"/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4"/>
      <c r="U63" s="10"/>
      <c r="V63" s="10"/>
      <c r="W63" s="10"/>
      <c r="X63" s="10"/>
    </row>
    <row r="64" spans="1:24" ht="18.75" customHeight="1" x14ac:dyDescent="0.45">
      <c r="A64" s="10"/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4"/>
      <c r="U64" s="10"/>
      <c r="V64" s="10"/>
      <c r="W64" s="10"/>
      <c r="X64" s="10"/>
    </row>
    <row r="65" spans="1:24" ht="18.75" customHeight="1" x14ac:dyDescent="0.45">
      <c r="A65" s="10"/>
      <c r="B65" s="1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7"/>
      <c r="U65" s="10"/>
      <c r="V65" s="10"/>
      <c r="W65" s="10"/>
      <c r="X65" s="10"/>
    </row>
    <row r="66" spans="1:24" x14ac:dyDescent="0.4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x14ac:dyDescent="0.4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x14ac:dyDescent="0.4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x14ac:dyDescent="0.4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x14ac:dyDescent="0.4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x14ac:dyDescent="0.4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x14ac:dyDescent="0.4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</sheetData>
  <mergeCells count="75">
    <mergeCell ref="Q2:S2"/>
    <mergeCell ref="B3:D3"/>
    <mergeCell ref="B5:T5"/>
    <mergeCell ref="B7:T7"/>
    <mergeCell ref="B9:E9"/>
    <mergeCell ref="G9:J9"/>
    <mergeCell ref="L9:O9"/>
    <mergeCell ref="Q9:T9"/>
    <mergeCell ref="B2:D2"/>
    <mergeCell ref="E2:G2"/>
    <mergeCell ref="H2:J2"/>
    <mergeCell ref="K2:M2"/>
    <mergeCell ref="N2:P2"/>
    <mergeCell ref="B10:E10"/>
    <mergeCell ref="G10:J10"/>
    <mergeCell ref="L10:O10"/>
    <mergeCell ref="Q10:T10"/>
    <mergeCell ref="B11:E11"/>
    <mergeCell ref="G11:J11"/>
    <mergeCell ref="L11:O11"/>
    <mergeCell ref="Q11:T11"/>
    <mergeCell ref="B13:T13"/>
    <mergeCell ref="B15:J15"/>
    <mergeCell ref="L15:T15"/>
    <mergeCell ref="B16:J16"/>
    <mergeCell ref="L16:T16"/>
    <mergeCell ref="B17:J17"/>
    <mergeCell ref="L17:T17"/>
    <mergeCell ref="B18:J18"/>
    <mergeCell ref="L18:T18"/>
    <mergeCell ref="B19:J19"/>
    <mergeCell ref="L19:T19"/>
    <mergeCell ref="B20:J20"/>
    <mergeCell ref="L20:T20"/>
    <mergeCell ref="B21:J21"/>
    <mergeCell ref="L21:T21"/>
    <mergeCell ref="B22:J22"/>
    <mergeCell ref="L22:T22"/>
    <mergeCell ref="B23:J23"/>
    <mergeCell ref="L23:T23"/>
    <mergeCell ref="B24:J24"/>
    <mergeCell ref="L24:T24"/>
    <mergeCell ref="B25:J25"/>
    <mergeCell ref="L25:T25"/>
    <mergeCell ref="B26:J26"/>
    <mergeCell ref="L26:T26"/>
    <mergeCell ref="B27:J27"/>
    <mergeCell ref="L27:T27"/>
    <mergeCell ref="B28:J28"/>
    <mergeCell ref="L28:T28"/>
    <mergeCell ref="B29:J29"/>
    <mergeCell ref="B34:T34"/>
    <mergeCell ref="B36:H36"/>
    <mergeCell ref="B37:H37"/>
    <mergeCell ref="B38:H38"/>
    <mergeCell ref="B39:H39"/>
    <mergeCell ref="B40:H40"/>
    <mergeCell ref="B41:H41"/>
    <mergeCell ref="B43:T43"/>
    <mergeCell ref="B44:T44"/>
    <mergeCell ref="B45:T45"/>
    <mergeCell ref="B46:T46"/>
    <mergeCell ref="B47:T47"/>
    <mergeCell ref="B48:T48"/>
    <mergeCell ref="B49:T49"/>
    <mergeCell ref="B50:T50"/>
    <mergeCell ref="B51:T51"/>
    <mergeCell ref="B52:T52"/>
    <mergeCell ref="B53:T53"/>
    <mergeCell ref="B54:T54"/>
    <mergeCell ref="B55:T55"/>
    <mergeCell ref="B56:T56"/>
    <mergeCell ref="B57:T57"/>
    <mergeCell ref="B58:T58"/>
    <mergeCell ref="B59:T59"/>
  </mergeCells>
  <hyperlinks>
    <hyperlink ref="E2" r:id="rId1" location="'02_Config_Master'!A1" xr:uid="{00000000-0004-0000-0000-000000000000}"/>
    <hyperlink ref="H2" r:id="rId2" location="'03_Import_Shopify'!A1" xr:uid="{00000000-0004-0000-0000-000001000000}"/>
    <hyperlink ref="K2" r:id="rId3" location="'04_Import_WMS'!A1" xr:uid="{00000000-0004-0000-0000-000002000000}"/>
    <hyperlink ref="N2" r:id="rId4" location="'05_Import_3PL'!A1" xr:uid="{00000000-0004-0000-0000-000003000000}"/>
    <hyperlink ref="Q2" r:id="rId5" location="'06_Calc_Engine'!A1" xr:uid="{00000000-0004-0000-00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showGridLines="0" showRowColHeaders="0" tabSelected="1" zoomScaleNormal="100" workbookViewId="0">
      <selection activeCell="M19" sqref="M19"/>
    </sheetView>
  </sheetViews>
  <sheetFormatPr defaultColWidth="8.6640625" defaultRowHeight="14.25" x14ac:dyDescent="0.45"/>
  <cols>
    <col min="1" max="1" width="2" customWidth="1"/>
    <col min="2" max="2" width="20" customWidth="1"/>
    <col min="3" max="3" width="30" customWidth="1"/>
    <col min="4" max="4" width="20" customWidth="1"/>
    <col min="5" max="5" width="14" customWidth="1"/>
    <col min="6" max="7" width="15" customWidth="1"/>
    <col min="8" max="8" width="2" customWidth="1"/>
    <col min="9" max="9" width="36" customWidth="1"/>
    <col min="10" max="10" width="2" customWidth="1"/>
  </cols>
  <sheetData>
    <row r="1" spans="1:24" x14ac:dyDescent="0.4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9"/>
      <c r="R1" s="19"/>
      <c r="S1" s="19"/>
      <c r="T1" s="19"/>
      <c r="U1" s="19"/>
      <c r="V1" s="19"/>
      <c r="W1" s="19"/>
      <c r="X1" s="19"/>
    </row>
    <row r="2" spans="1:24" ht="25.5" customHeight="1" x14ac:dyDescent="0.45">
      <c r="A2" s="11"/>
      <c r="B2" s="49" t="s">
        <v>0</v>
      </c>
      <c r="C2" s="49"/>
      <c r="D2" s="49"/>
      <c r="E2" s="55" t="s">
        <v>1</v>
      </c>
      <c r="F2" s="55"/>
      <c r="G2" s="55"/>
      <c r="H2" s="49" t="s">
        <v>2</v>
      </c>
      <c r="I2" s="49"/>
      <c r="J2" s="49"/>
      <c r="K2" s="49" t="s">
        <v>3</v>
      </c>
      <c r="L2" s="49"/>
      <c r="M2" s="49"/>
      <c r="N2" s="49" t="s">
        <v>4</v>
      </c>
      <c r="O2" s="49"/>
      <c r="P2" s="49"/>
      <c r="Q2" s="49" t="s">
        <v>5</v>
      </c>
      <c r="R2" s="49"/>
      <c r="S2" s="49"/>
      <c r="T2" s="11"/>
      <c r="U2" s="11"/>
      <c r="V2" s="11"/>
      <c r="W2" s="11"/>
      <c r="X2" s="11"/>
    </row>
    <row r="3" spans="1:24" ht="4.5" customHeight="1" x14ac:dyDescent="0.45">
      <c r="A3" s="11"/>
      <c r="B3" s="11"/>
      <c r="C3" s="11"/>
      <c r="D3" s="11"/>
      <c r="E3" s="50"/>
      <c r="F3" s="51"/>
      <c r="G3" s="5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9"/>
      <c r="R4" s="19"/>
      <c r="S4" s="19"/>
      <c r="T4" s="19"/>
      <c r="U4" s="19"/>
      <c r="V4" s="19"/>
      <c r="W4" s="19"/>
      <c r="X4" s="19"/>
    </row>
    <row r="5" spans="1:24" ht="37.5" customHeight="1" x14ac:dyDescent="0.45">
      <c r="A5" s="10"/>
      <c r="B5" s="52" t="s">
        <v>65</v>
      </c>
      <c r="C5" s="52"/>
      <c r="D5" s="52"/>
      <c r="E5" s="52"/>
      <c r="F5" s="52"/>
      <c r="G5" s="52"/>
      <c r="H5" s="10"/>
      <c r="I5" s="10"/>
      <c r="J5" s="10"/>
      <c r="K5" s="10"/>
      <c r="L5" s="10"/>
      <c r="M5" s="10"/>
      <c r="N5" s="10"/>
      <c r="O5" s="10"/>
      <c r="P5" s="10"/>
      <c r="Q5" s="19"/>
      <c r="R5" s="19"/>
      <c r="S5" s="19"/>
      <c r="T5" s="19"/>
      <c r="U5" s="19"/>
      <c r="V5" s="19"/>
      <c r="W5" s="19"/>
      <c r="X5" s="19"/>
    </row>
    <row r="6" spans="1:24" ht="19.5" customHeight="1" x14ac:dyDescent="0.45">
      <c r="A6" s="10"/>
      <c r="B6" s="53" t="s">
        <v>66</v>
      </c>
      <c r="C6" s="54"/>
      <c r="D6" s="54"/>
      <c r="E6" s="54"/>
      <c r="F6" s="54"/>
      <c r="G6" s="54"/>
      <c r="H6" s="10"/>
      <c r="I6" s="10"/>
      <c r="J6" s="10"/>
      <c r="K6" s="10"/>
      <c r="L6" s="10"/>
      <c r="M6" s="10"/>
      <c r="N6" s="10"/>
      <c r="O6" s="10"/>
      <c r="P6" s="10"/>
      <c r="Q6" s="19"/>
      <c r="R6" s="19"/>
      <c r="S6" s="19"/>
      <c r="T6" s="19"/>
      <c r="U6" s="19"/>
      <c r="V6" s="19"/>
      <c r="W6" s="19"/>
      <c r="X6" s="19"/>
    </row>
    <row r="7" spans="1:24" ht="6" customHeight="1" x14ac:dyDescent="0.4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9"/>
      <c r="R7" s="19"/>
      <c r="S7" s="19"/>
      <c r="T7" s="19"/>
      <c r="U7" s="19"/>
      <c r="V7" s="19"/>
      <c r="W7" s="19"/>
      <c r="X7" s="19"/>
    </row>
    <row r="8" spans="1:24" ht="27.75" customHeight="1" x14ac:dyDescent="0.45">
      <c r="A8" s="10"/>
      <c r="B8" s="1" t="s">
        <v>67</v>
      </c>
      <c r="C8" s="1" t="s">
        <v>68</v>
      </c>
      <c r="D8" s="1" t="s">
        <v>69</v>
      </c>
      <c r="E8" s="2" t="s">
        <v>70</v>
      </c>
      <c r="F8" s="2" t="s">
        <v>71</v>
      </c>
      <c r="G8" s="2" t="s">
        <v>72</v>
      </c>
      <c r="H8" s="10"/>
      <c r="I8" s="20" t="s">
        <v>73</v>
      </c>
      <c r="J8" s="10"/>
      <c r="K8" s="10"/>
      <c r="L8" s="10"/>
      <c r="M8" s="10"/>
      <c r="N8" s="10"/>
      <c r="O8" s="10"/>
      <c r="P8" s="10"/>
      <c r="Q8" s="19"/>
      <c r="R8" s="19"/>
      <c r="S8" s="19"/>
      <c r="T8" s="19"/>
      <c r="U8" s="19"/>
      <c r="V8" s="19"/>
      <c r="W8" s="19"/>
      <c r="X8" s="19"/>
    </row>
    <row r="9" spans="1:24" ht="19.5" customHeight="1" x14ac:dyDescent="0.45">
      <c r="A9" s="10"/>
      <c r="B9" s="21" t="s">
        <v>74</v>
      </c>
      <c r="C9" s="22" t="s">
        <v>75</v>
      </c>
      <c r="D9" s="22" t="s">
        <v>76</v>
      </c>
      <c r="E9" s="23">
        <v>15</v>
      </c>
      <c r="F9" s="24">
        <v>10</v>
      </c>
      <c r="G9" s="25">
        <v>0.03</v>
      </c>
      <c r="H9" s="10"/>
      <c r="I9" s="26" t="s">
        <v>77</v>
      </c>
      <c r="J9" s="10"/>
      <c r="K9" s="10"/>
      <c r="L9" s="10"/>
      <c r="M9" s="10"/>
      <c r="N9" s="10"/>
      <c r="O9" s="10"/>
      <c r="P9" s="10"/>
      <c r="Q9" s="19"/>
      <c r="R9" s="19"/>
      <c r="S9" s="19"/>
      <c r="T9" s="19"/>
      <c r="U9" s="19"/>
      <c r="V9" s="19"/>
      <c r="W9" s="19"/>
      <c r="X9" s="19"/>
    </row>
    <row r="10" spans="1:24" ht="19.5" customHeight="1" x14ac:dyDescent="0.45">
      <c r="A10" s="10"/>
      <c r="B10" s="27" t="s">
        <v>78</v>
      </c>
      <c r="C10" s="28" t="s">
        <v>79</v>
      </c>
      <c r="D10" s="28" t="s">
        <v>76</v>
      </c>
      <c r="E10" s="29">
        <v>35</v>
      </c>
      <c r="F10" s="30">
        <v>5</v>
      </c>
      <c r="G10" s="31">
        <v>0.03</v>
      </c>
      <c r="H10" s="10"/>
      <c r="I10" s="26" t="s">
        <v>80</v>
      </c>
      <c r="J10" s="10"/>
      <c r="K10" s="10"/>
      <c r="L10" s="10"/>
      <c r="M10" s="10"/>
      <c r="N10" s="10"/>
      <c r="O10" s="10"/>
      <c r="P10" s="10"/>
      <c r="Q10" s="19"/>
      <c r="R10" s="19"/>
      <c r="S10" s="19"/>
      <c r="T10" s="19"/>
      <c r="U10" s="19"/>
      <c r="V10" s="19"/>
      <c r="W10" s="19"/>
      <c r="X10" s="19"/>
    </row>
    <row r="11" spans="1:24" ht="19.5" customHeight="1" x14ac:dyDescent="0.45">
      <c r="A11" s="10"/>
      <c r="B11" s="21" t="s">
        <v>81</v>
      </c>
      <c r="C11" s="22" t="s">
        <v>82</v>
      </c>
      <c r="D11" s="22" t="s">
        <v>76</v>
      </c>
      <c r="E11" s="23">
        <v>89</v>
      </c>
      <c r="F11" s="24">
        <v>4</v>
      </c>
      <c r="G11" s="25">
        <v>0.05</v>
      </c>
      <c r="H11" s="10"/>
      <c r="I11" s="26" t="s">
        <v>83</v>
      </c>
      <c r="J11" s="10"/>
      <c r="K11" s="10"/>
      <c r="L11" s="10"/>
      <c r="M11" s="10"/>
      <c r="N11" s="10"/>
      <c r="O11" s="10"/>
      <c r="P11" s="10"/>
      <c r="Q11" s="19"/>
      <c r="R11" s="19"/>
      <c r="S11" s="19"/>
      <c r="T11" s="19"/>
      <c r="U11" s="19"/>
      <c r="V11" s="19"/>
      <c r="W11" s="19"/>
      <c r="X11" s="19"/>
    </row>
    <row r="12" spans="1:24" ht="19.5" customHeight="1" x14ac:dyDescent="0.45">
      <c r="A12" s="10"/>
      <c r="B12" s="27" t="s">
        <v>84</v>
      </c>
      <c r="C12" s="28" t="s">
        <v>85</v>
      </c>
      <c r="D12" s="28" t="s">
        <v>86</v>
      </c>
      <c r="E12" s="29">
        <v>125</v>
      </c>
      <c r="F12" s="30">
        <v>3</v>
      </c>
      <c r="G12" s="31">
        <v>0.02</v>
      </c>
      <c r="H12" s="10"/>
      <c r="I12" s="26" t="s">
        <v>87</v>
      </c>
      <c r="J12" s="10"/>
      <c r="K12" s="10"/>
      <c r="L12" s="10"/>
      <c r="M12" s="10"/>
      <c r="N12" s="10"/>
      <c r="O12" s="10"/>
      <c r="P12" s="10"/>
      <c r="Q12" s="19"/>
      <c r="R12" s="19"/>
      <c r="S12" s="19"/>
      <c r="T12" s="19"/>
      <c r="U12" s="19"/>
      <c r="V12" s="19"/>
      <c r="W12" s="19"/>
      <c r="X12" s="19"/>
    </row>
    <row r="13" spans="1:24" ht="19.5" customHeight="1" x14ac:dyDescent="0.45">
      <c r="A13" s="10"/>
      <c r="B13" s="21" t="s">
        <v>88</v>
      </c>
      <c r="C13" s="22" t="s">
        <v>89</v>
      </c>
      <c r="D13" s="22" t="s">
        <v>86</v>
      </c>
      <c r="E13" s="23">
        <v>22</v>
      </c>
      <c r="F13" s="24">
        <v>8</v>
      </c>
      <c r="G13" s="25">
        <v>0.02</v>
      </c>
      <c r="H13" s="10"/>
      <c r="I13" s="26" t="s">
        <v>90</v>
      </c>
      <c r="J13" s="10"/>
      <c r="K13" s="10"/>
      <c r="L13" s="10"/>
      <c r="M13" s="10"/>
      <c r="N13" s="10"/>
      <c r="O13" s="10"/>
      <c r="P13" s="10"/>
      <c r="Q13" s="19"/>
      <c r="R13" s="19"/>
      <c r="S13" s="19"/>
      <c r="T13" s="19"/>
      <c r="U13" s="19"/>
      <c r="V13" s="19"/>
      <c r="W13" s="19"/>
      <c r="X13" s="19"/>
    </row>
    <row r="14" spans="1:24" ht="19.5" customHeight="1" x14ac:dyDescent="0.45">
      <c r="A14" s="10"/>
      <c r="B14" s="27" t="s">
        <v>91</v>
      </c>
      <c r="C14" s="28" t="s">
        <v>92</v>
      </c>
      <c r="D14" s="28" t="s">
        <v>93</v>
      </c>
      <c r="E14" s="29">
        <v>65</v>
      </c>
      <c r="F14" s="30">
        <v>5</v>
      </c>
      <c r="G14" s="31">
        <v>0.03</v>
      </c>
      <c r="H14" s="10"/>
      <c r="I14" s="32" t="s">
        <v>94</v>
      </c>
      <c r="J14" s="10"/>
      <c r="K14" s="10"/>
      <c r="L14" s="10"/>
      <c r="M14" s="10"/>
      <c r="N14" s="10"/>
      <c r="O14" s="10"/>
      <c r="P14" s="10"/>
      <c r="Q14" s="19"/>
      <c r="R14" s="19"/>
      <c r="S14" s="19"/>
      <c r="T14" s="19"/>
      <c r="U14" s="19"/>
      <c r="V14" s="19"/>
      <c r="W14" s="19"/>
      <c r="X14" s="19"/>
    </row>
    <row r="15" spans="1:24" ht="19.5" customHeight="1" x14ac:dyDescent="0.45">
      <c r="A15" s="10"/>
      <c r="B15" s="21" t="s">
        <v>95</v>
      </c>
      <c r="C15" s="22" t="s">
        <v>96</v>
      </c>
      <c r="D15" s="22" t="s">
        <v>86</v>
      </c>
      <c r="E15" s="23">
        <v>12</v>
      </c>
      <c r="F15" s="24">
        <v>15</v>
      </c>
      <c r="G15" s="25">
        <v>0.02</v>
      </c>
      <c r="H15" s="10"/>
      <c r="I15" s="26" t="s">
        <v>97</v>
      </c>
      <c r="J15" s="10"/>
      <c r="K15" s="10"/>
      <c r="L15" s="10"/>
      <c r="M15" s="10"/>
      <c r="N15" s="10"/>
      <c r="O15" s="10"/>
      <c r="P15" s="10"/>
      <c r="Q15" s="19"/>
      <c r="R15" s="19"/>
      <c r="S15" s="19"/>
      <c r="T15" s="19"/>
      <c r="U15" s="19"/>
      <c r="V15" s="19"/>
      <c r="W15" s="19"/>
      <c r="X15" s="19"/>
    </row>
    <row r="16" spans="1:24" ht="16.5" customHeight="1" x14ac:dyDescent="0.45">
      <c r="A16" s="10"/>
      <c r="B16" s="27" t="s">
        <v>98</v>
      </c>
      <c r="C16" s="28" t="s">
        <v>99</v>
      </c>
      <c r="D16" s="28" t="s">
        <v>86</v>
      </c>
      <c r="E16" s="29">
        <v>28</v>
      </c>
      <c r="F16" s="30">
        <v>8</v>
      </c>
      <c r="G16" s="31">
        <v>0.02</v>
      </c>
      <c r="H16" s="10"/>
      <c r="I16" s="10"/>
      <c r="J16" s="10"/>
      <c r="K16" s="10"/>
      <c r="L16" s="10"/>
      <c r="M16" s="10"/>
      <c r="N16" s="10"/>
      <c r="O16" s="10"/>
      <c r="P16" s="10"/>
      <c r="Q16" s="19"/>
      <c r="R16" s="19"/>
      <c r="S16" s="19"/>
      <c r="T16" s="19"/>
      <c r="U16" s="19"/>
      <c r="V16" s="19"/>
      <c r="W16" s="19"/>
      <c r="X16" s="19"/>
    </row>
    <row r="17" spans="1:24" ht="16.5" customHeight="1" x14ac:dyDescent="0.45">
      <c r="A17" s="10"/>
      <c r="B17" s="21" t="s">
        <v>100</v>
      </c>
      <c r="C17" s="22" t="s">
        <v>101</v>
      </c>
      <c r="D17" s="22" t="s">
        <v>102</v>
      </c>
      <c r="E17" s="23">
        <v>18</v>
      </c>
      <c r="F17" s="24">
        <v>12</v>
      </c>
      <c r="G17" s="25">
        <v>1.4999999999999999E-2</v>
      </c>
      <c r="H17" s="10"/>
      <c r="I17" s="10"/>
      <c r="J17" s="10"/>
      <c r="K17" s="10"/>
      <c r="L17" s="10"/>
      <c r="M17" s="10"/>
      <c r="N17" s="10"/>
      <c r="O17" s="10"/>
      <c r="P17" s="10"/>
      <c r="Q17" s="19"/>
      <c r="R17" s="19"/>
      <c r="S17" s="19"/>
      <c r="T17" s="19"/>
      <c r="U17" s="19"/>
      <c r="V17" s="19"/>
      <c r="W17" s="19"/>
      <c r="X17" s="19"/>
    </row>
    <row r="18" spans="1:24" ht="16.5" customHeight="1" x14ac:dyDescent="0.45">
      <c r="A18" s="10"/>
      <c r="B18" s="27" t="s">
        <v>103</v>
      </c>
      <c r="C18" s="28" t="s">
        <v>104</v>
      </c>
      <c r="D18" s="28" t="s">
        <v>102</v>
      </c>
      <c r="E18" s="29">
        <v>75</v>
      </c>
      <c r="F18" s="30">
        <v>3</v>
      </c>
      <c r="G18" s="31">
        <v>0.03</v>
      </c>
      <c r="H18" s="10"/>
      <c r="I18" s="10"/>
      <c r="J18" s="10"/>
      <c r="K18" s="10"/>
      <c r="L18" s="10"/>
      <c r="M18" s="10"/>
      <c r="N18" s="10"/>
      <c r="O18" s="10"/>
      <c r="P18" s="10"/>
      <c r="Q18" s="19"/>
      <c r="R18" s="19"/>
      <c r="S18" s="19"/>
      <c r="T18" s="19"/>
      <c r="U18" s="19"/>
      <c r="V18" s="19"/>
      <c r="W18" s="19"/>
      <c r="X18" s="19"/>
    </row>
    <row r="19" spans="1:24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9"/>
      <c r="R19" s="19"/>
      <c r="S19" s="19"/>
      <c r="T19" s="19"/>
      <c r="U19" s="19"/>
      <c r="V19" s="19"/>
      <c r="W19" s="19"/>
      <c r="X19" s="19"/>
    </row>
    <row r="20" spans="1:24" x14ac:dyDescent="0.4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9"/>
      <c r="R20" s="19"/>
      <c r="S20" s="19"/>
      <c r="T20" s="19"/>
      <c r="U20" s="19"/>
      <c r="V20" s="19"/>
      <c r="W20" s="19"/>
      <c r="X20" s="19"/>
    </row>
    <row r="21" spans="1:24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9"/>
      <c r="R21" s="19"/>
      <c r="S21" s="19"/>
      <c r="T21" s="19"/>
      <c r="U21" s="19"/>
      <c r="V21" s="19"/>
      <c r="W21" s="19"/>
      <c r="X21" s="19"/>
    </row>
    <row r="22" spans="1:24" x14ac:dyDescent="0.4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9"/>
      <c r="R22" s="19"/>
      <c r="S22" s="19"/>
      <c r="T22" s="19"/>
      <c r="U22" s="19"/>
      <c r="V22" s="19"/>
      <c r="W22" s="19"/>
      <c r="X22" s="19"/>
    </row>
    <row r="23" spans="1:24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9"/>
      <c r="R23" s="19"/>
      <c r="S23" s="19"/>
      <c r="T23" s="19"/>
      <c r="U23" s="19"/>
      <c r="V23" s="19"/>
      <c r="W23" s="19"/>
      <c r="X23" s="19"/>
    </row>
    <row r="24" spans="1:24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9"/>
      <c r="R24" s="19"/>
      <c r="S24" s="19"/>
      <c r="T24" s="19"/>
      <c r="U24" s="19"/>
      <c r="V24" s="19"/>
      <c r="W24" s="19"/>
      <c r="X24" s="19"/>
    </row>
    <row r="25" spans="1:24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9"/>
      <c r="R25" s="19"/>
      <c r="S25" s="19"/>
      <c r="T25" s="19"/>
      <c r="U25" s="19"/>
      <c r="V25" s="19"/>
      <c r="W25" s="19"/>
      <c r="X25" s="19"/>
    </row>
    <row r="26" spans="1:24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9"/>
      <c r="R26" s="19"/>
      <c r="S26" s="19"/>
      <c r="T26" s="19"/>
      <c r="U26" s="19"/>
      <c r="V26" s="19"/>
      <c r="W26" s="19"/>
      <c r="X26" s="19"/>
    </row>
    <row r="27" spans="1:24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9"/>
      <c r="R27" s="19"/>
      <c r="S27" s="19"/>
      <c r="T27" s="19"/>
      <c r="U27" s="19"/>
      <c r="V27" s="19"/>
      <c r="W27" s="19"/>
      <c r="X27" s="19"/>
    </row>
    <row r="28" spans="1:24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9"/>
      <c r="R28" s="19"/>
      <c r="S28" s="19"/>
      <c r="T28" s="19"/>
      <c r="U28" s="19"/>
      <c r="V28" s="19"/>
      <c r="W28" s="19"/>
      <c r="X28" s="19"/>
    </row>
    <row r="29" spans="1:24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9"/>
      <c r="R29" s="19"/>
      <c r="S29" s="19"/>
      <c r="T29" s="19"/>
      <c r="U29" s="19"/>
      <c r="V29" s="19"/>
      <c r="W29" s="19"/>
      <c r="X29" s="19"/>
    </row>
    <row r="30" spans="1:24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9"/>
      <c r="R30" s="19"/>
      <c r="S30" s="19"/>
      <c r="T30" s="19"/>
      <c r="U30" s="19"/>
      <c r="V30" s="19"/>
      <c r="W30" s="19"/>
      <c r="X30" s="19"/>
    </row>
    <row r="31" spans="1:24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9"/>
      <c r="R31" s="19"/>
      <c r="S31" s="19"/>
      <c r="T31" s="19"/>
      <c r="U31" s="19"/>
      <c r="V31" s="19"/>
      <c r="W31" s="19"/>
      <c r="X31" s="19"/>
    </row>
    <row r="32" spans="1:24" x14ac:dyDescent="0.4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9"/>
      <c r="R32" s="19"/>
      <c r="S32" s="19"/>
      <c r="T32" s="19"/>
      <c r="U32" s="19"/>
      <c r="V32" s="19"/>
      <c r="W32" s="19"/>
      <c r="X32" s="19"/>
    </row>
    <row r="33" spans="1:24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9"/>
      <c r="R33" s="19"/>
      <c r="S33" s="19"/>
      <c r="T33" s="19"/>
      <c r="U33" s="19"/>
      <c r="V33" s="19"/>
      <c r="W33" s="19"/>
      <c r="X33" s="19"/>
    </row>
    <row r="34" spans="1:24" x14ac:dyDescent="0.4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9"/>
      <c r="R34" s="19"/>
      <c r="S34" s="19"/>
      <c r="T34" s="19"/>
      <c r="U34" s="19"/>
      <c r="V34" s="19"/>
      <c r="W34" s="19"/>
      <c r="X34" s="19"/>
    </row>
    <row r="35" spans="1:24" x14ac:dyDescent="0.4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9"/>
      <c r="R35" s="19"/>
      <c r="S35" s="19"/>
      <c r="T35" s="19"/>
      <c r="U35" s="19"/>
      <c r="V35" s="19"/>
      <c r="W35" s="19"/>
      <c r="X35" s="19"/>
    </row>
    <row r="36" spans="1:24" x14ac:dyDescent="0.4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9"/>
      <c r="R36" s="19"/>
      <c r="S36" s="19"/>
      <c r="T36" s="19"/>
      <c r="U36" s="19"/>
      <c r="V36" s="19"/>
      <c r="W36" s="19"/>
      <c r="X36" s="19"/>
    </row>
    <row r="37" spans="1:24" x14ac:dyDescent="0.4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9"/>
      <c r="R37" s="19"/>
      <c r="S37" s="19"/>
      <c r="T37" s="19"/>
      <c r="U37" s="19"/>
      <c r="V37" s="19"/>
      <c r="W37" s="19"/>
      <c r="X37" s="19"/>
    </row>
    <row r="38" spans="1:24" x14ac:dyDescent="0.4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9"/>
      <c r="R38" s="19"/>
      <c r="S38" s="19"/>
      <c r="T38" s="19"/>
      <c r="U38" s="19"/>
      <c r="V38" s="19"/>
      <c r="W38" s="19"/>
      <c r="X38" s="19"/>
    </row>
    <row r="39" spans="1:24" x14ac:dyDescent="0.4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9"/>
      <c r="R39" s="19"/>
      <c r="S39" s="19"/>
      <c r="T39" s="19"/>
      <c r="U39" s="19"/>
      <c r="V39" s="19"/>
      <c r="W39" s="19"/>
      <c r="X39" s="19"/>
    </row>
    <row r="40" spans="1:24" x14ac:dyDescent="0.4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9"/>
      <c r="R40" s="19"/>
      <c r="S40" s="19"/>
      <c r="T40" s="19"/>
      <c r="U40" s="19"/>
      <c r="V40" s="19"/>
      <c r="W40" s="19"/>
      <c r="X40" s="19"/>
    </row>
    <row r="41" spans="1:24" x14ac:dyDescent="0.4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9"/>
      <c r="R41" s="19"/>
      <c r="S41" s="19"/>
      <c r="T41" s="19"/>
      <c r="U41" s="19"/>
      <c r="V41" s="19"/>
      <c r="W41" s="19"/>
      <c r="X41" s="19"/>
    </row>
    <row r="42" spans="1:24" x14ac:dyDescent="0.4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9"/>
      <c r="R42" s="19"/>
      <c r="S42" s="19"/>
      <c r="T42" s="19"/>
      <c r="U42" s="19"/>
      <c r="V42" s="19"/>
      <c r="W42" s="19"/>
      <c r="X42" s="19"/>
    </row>
    <row r="43" spans="1:24" x14ac:dyDescent="0.4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9"/>
      <c r="R43" s="19"/>
      <c r="S43" s="19"/>
      <c r="T43" s="19"/>
      <c r="U43" s="19"/>
      <c r="V43" s="19"/>
      <c r="W43" s="19"/>
      <c r="X43" s="19"/>
    </row>
    <row r="44" spans="1:24" x14ac:dyDescent="0.4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9"/>
      <c r="R44" s="19"/>
      <c r="S44" s="19"/>
      <c r="T44" s="19"/>
      <c r="U44" s="19"/>
      <c r="V44" s="19"/>
      <c r="W44" s="19"/>
      <c r="X44" s="19"/>
    </row>
    <row r="45" spans="1:24" x14ac:dyDescent="0.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9"/>
      <c r="R45" s="19"/>
      <c r="S45" s="19"/>
      <c r="T45" s="19"/>
      <c r="U45" s="19"/>
      <c r="V45" s="19"/>
      <c r="W45" s="19"/>
      <c r="X45" s="19"/>
    </row>
    <row r="46" spans="1:24" x14ac:dyDescent="0.4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9"/>
      <c r="R46" s="19"/>
      <c r="S46" s="19"/>
      <c r="T46" s="19"/>
      <c r="U46" s="19"/>
      <c r="V46" s="19"/>
      <c r="W46" s="19"/>
      <c r="X46" s="19"/>
    </row>
    <row r="47" spans="1:24" x14ac:dyDescent="0.4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9"/>
      <c r="R47" s="19"/>
      <c r="S47" s="19"/>
      <c r="T47" s="19"/>
      <c r="U47" s="19"/>
      <c r="V47" s="19"/>
      <c r="W47" s="19"/>
      <c r="X47" s="19"/>
    </row>
    <row r="48" spans="1:24" x14ac:dyDescent="0.4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9"/>
      <c r="R48" s="19"/>
      <c r="S48" s="19"/>
      <c r="T48" s="19"/>
      <c r="U48" s="19"/>
      <c r="V48" s="19"/>
      <c r="W48" s="19"/>
      <c r="X48" s="19"/>
    </row>
    <row r="49" spans="1:24" x14ac:dyDescent="0.4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9"/>
      <c r="R49" s="19"/>
      <c r="S49" s="19"/>
      <c r="T49" s="19"/>
      <c r="U49" s="19"/>
      <c r="V49" s="19"/>
      <c r="W49" s="19"/>
      <c r="X49" s="19"/>
    </row>
    <row r="50" spans="1:24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9"/>
      <c r="R50" s="19"/>
      <c r="S50" s="19"/>
      <c r="T50" s="19"/>
      <c r="U50" s="19"/>
      <c r="V50" s="19"/>
      <c r="W50" s="19"/>
      <c r="X50" s="19"/>
    </row>
    <row r="51" spans="1:24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</row>
    <row r="52" spans="1:24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9"/>
      <c r="R52" s="19"/>
      <c r="S52" s="19"/>
      <c r="T52" s="19"/>
      <c r="U52" s="19"/>
      <c r="V52" s="19"/>
      <c r="W52" s="19"/>
      <c r="X52" s="19"/>
    </row>
    <row r="53" spans="1:24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9"/>
      <c r="R53" s="19"/>
      <c r="S53" s="19"/>
      <c r="T53" s="19"/>
      <c r="U53" s="19"/>
      <c r="V53" s="19"/>
      <c r="W53" s="19"/>
      <c r="X53" s="19"/>
    </row>
    <row r="54" spans="1:24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9"/>
      <c r="R54" s="19"/>
      <c r="S54" s="19"/>
      <c r="T54" s="19"/>
      <c r="U54" s="19"/>
      <c r="V54" s="19"/>
      <c r="W54" s="19"/>
      <c r="X54" s="19"/>
    </row>
    <row r="55" spans="1:24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9"/>
      <c r="R55" s="19"/>
      <c r="S55" s="19"/>
      <c r="T55" s="19"/>
      <c r="U55" s="19"/>
      <c r="V55" s="19"/>
      <c r="W55" s="19"/>
      <c r="X55" s="19"/>
    </row>
  </sheetData>
  <mergeCells count="9">
    <mergeCell ref="Q2:S2"/>
    <mergeCell ref="E3:G3"/>
    <mergeCell ref="B5:G5"/>
    <mergeCell ref="B6:G6"/>
    <mergeCell ref="B2:D2"/>
    <mergeCell ref="E2:G2"/>
    <mergeCell ref="H2:J2"/>
    <mergeCell ref="K2:M2"/>
    <mergeCell ref="N2:P2"/>
  </mergeCells>
  <dataValidations count="1">
    <dataValidation type="list" allowBlank="1" showErrorMessage="1" errorTitle="Invalid Category" error="Select a value from the approved category list." sqref="D9:D18" xr:uid="{00000000-0002-0000-0100-000000000000}">
      <formula1>"Apparel,Accessories,Electronics,Footwear,Beauty,Home,Sports,Other"</formula1>
      <formula2>0</formula2>
    </dataValidation>
  </dataValidations>
  <hyperlinks>
    <hyperlink ref="B2" r:id="rId1" location="'01_Dashboard'!A1" xr:uid="{00000000-0004-0000-0100-000000000000}"/>
    <hyperlink ref="H2" r:id="rId2" location="'03_Import_Shopify'!A1" xr:uid="{00000000-0004-0000-0100-000001000000}"/>
    <hyperlink ref="K2" r:id="rId3" location="'04_Import_WMS'!A1" xr:uid="{00000000-0004-0000-0100-000002000000}"/>
    <hyperlink ref="N2" r:id="rId4" location="'05_Import_3PL'!A1" xr:uid="{00000000-0004-0000-0100-000003000000}"/>
    <hyperlink ref="Q2" r:id="rId5" location="'06_Calc_Engine'!A1" xr:uid="{00000000-0004-0000-0100-000004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1C2C"/>
  </sheetPr>
  <dimension ref="A1:X55"/>
  <sheetViews>
    <sheetView showGridLines="0" showRowColHeaders="0" zoomScaleNormal="100" workbookViewId="0"/>
  </sheetViews>
  <sheetFormatPr defaultColWidth="8.6640625" defaultRowHeight="14.25" x14ac:dyDescent="0.45"/>
  <cols>
    <col min="1" max="1" width="2" customWidth="1"/>
    <col min="2" max="2" width="22" customWidth="1"/>
    <col min="3" max="3" width="32" customWidth="1"/>
    <col min="4" max="5" width="18" customWidth="1"/>
    <col min="6" max="6" width="2" customWidth="1"/>
  </cols>
  <sheetData>
    <row r="1" spans="1:24" x14ac:dyDescent="0.4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25.5" customHeight="1" x14ac:dyDescent="0.45">
      <c r="A2" s="11"/>
      <c r="B2" s="49" t="s">
        <v>0</v>
      </c>
      <c r="C2" s="49"/>
      <c r="D2" s="49"/>
      <c r="E2" s="49" t="s">
        <v>1</v>
      </c>
      <c r="F2" s="49"/>
      <c r="G2" s="49"/>
      <c r="H2" s="55" t="s">
        <v>2</v>
      </c>
      <c r="I2" s="55"/>
      <c r="J2" s="55"/>
      <c r="K2" s="49" t="s">
        <v>3</v>
      </c>
      <c r="L2" s="49"/>
      <c r="M2" s="49"/>
      <c r="N2" s="49" t="s">
        <v>4</v>
      </c>
      <c r="O2" s="49"/>
      <c r="P2" s="49"/>
      <c r="Q2" s="49" t="s">
        <v>5</v>
      </c>
      <c r="R2" s="49"/>
      <c r="S2" s="49"/>
      <c r="T2" s="11"/>
      <c r="U2" s="11"/>
      <c r="V2" s="11"/>
      <c r="W2" s="11"/>
      <c r="X2" s="11"/>
    </row>
    <row r="3" spans="1:24" ht="4.5" customHeight="1" x14ac:dyDescent="0.45">
      <c r="A3" s="11"/>
      <c r="B3" s="11"/>
      <c r="C3" s="11"/>
      <c r="D3" s="11"/>
      <c r="E3" s="11"/>
      <c r="F3" s="11"/>
      <c r="G3" s="11"/>
      <c r="H3" s="50"/>
      <c r="I3" s="51"/>
      <c r="J3" s="5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37.5" customHeight="1" x14ac:dyDescent="0.45">
      <c r="A5" s="10"/>
      <c r="B5" s="52" t="s">
        <v>105</v>
      </c>
      <c r="C5" s="52"/>
      <c r="D5" s="52"/>
      <c r="E5" s="52"/>
      <c r="F5" s="10"/>
      <c r="G5" s="10"/>
      <c r="H5" s="10"/>
      <c r="I5" s="10"/>
      <c r="J5" s="10"/>
      <c r="K5" s="10"/>
      <c r="L5" s="1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21.75" customHeight="1" x14ac:dyDescent="0.45">
      <c r="A6" s="10"/>
      <c r="B6" s="53" t="s">
        <v>106</v>
      </c>
      <c r="C6" s="54"/>
      <c r="D6" s="54"/>
      <c r="E6" s="54"/>
      <c r="F6" s="10"/>
      <c r="G6" s="10"/>
      <c r="H6" s="10"/>
      <c r="I6" s="10"/>
      <c r="J6" s="10"/>
      <c r="K6" s="10"/>
      <c r="L6" s="1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6" customHeight="1" x14ac:dyDescent="0.4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27.75" customHeight="1" x14ac:dyDescent="0.45">
      <c r="A8" s="10"/>
      <c r="B8" s="1" t="s">
        <v>67</v>
      </c>
      <c r="C8" s="1" t="s">
        <v>107</v>
      </c>
      <c r="D8" s="2" t="s">
        <v>108</v>
      </c>
      <c r="E8" s="2" t="s">
        <v>109</v>
      </c>
      <c r="F8" s="10"/>
      <c r="G8" s="10"/>
      <c r="H8" s="10"/>
      <c r="I8" s="10"/>
      <c r="J8" s="10"/>
      <c r="K8" s="10"/>
      <c r="L8" s="1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6.5" customHeight="1" x14ac:dyDescent="0.45">
      <c r="A9" s="10"/>
      <c r="B9" s="33" t="s">
        <v>74</v>
      </c>
      <c r="C9" s="34" t="s">
        <v>75</v>
      </c>
      <c r="D9" s="35">
        <v>145</v>
      </c>
      <c r="E9" s="35">
        <v>200</v>
      </c>
      <c r="F9" s="10"/>
      <c r="G9" s="10"/>
      <c r="H9" s="10"/>
      <c r="I9" s="10"/>
      <c r="J9" s="10"/>
      <c r="K9" s="10"/>
      <c r="L9" s="10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6.5" customHeight="1" x14ac:dyDescent="0.45">
      <c r="A10" s="10"/>
      <c r="B10" s="27" t="s">
        <v>78</v>
      </c>
      <c r="C10" s="28" t="s">
        <v>79</v>
      </c>
      <c r="D10" s="30">
        <v>72</v>
      </c>
      <c r="E10" s="30">
        <v>95</v>
      </c>
      <c r="F10" s="10"/>
      <c r="G10" s="10"/>
      <c r="H10" s="10"/>
      <c r="I10" s="10"/>
      <c r="J10" s="10"/>
      <c r="K10" s="10"/>
      <c r="L10" s="1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6.5" customHeight="1" x14ac:dyDescent="0.45">
      <c r="A11" s="10"/>
      <c r="B11" s="33" t="s">
        <v>81</v>
      </c>
      <c r="C11" s="34" t="s">
        <v>82</v>
      </c>
      <c r="D11" s="35">
        <v>38</v>
      </c>
      <c r="E11" s="35">
        <v>50</v>
      </c>
      <c r="F11" s="10"/>
      <c r="G11" s="10"/>
      <c r="H11" s="10"/>
      <c r="I11" s="10"/>
      <c r="J11" s="10"/>
      <c r="K11" s="10"/>
      <c r="L11" s="10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6.5" customHeight="1" x14ac:dyDescent="0.45">
      <c r="A12" s="10"/>
      <c r="B12" s="27" t="s">
        <v>84</v>
      </c>
      <c r="C12" s="28" t="s">
        <v>85</v>
      </c>
      <c r="D12" s="30">
        <v>25</v>
      </c>
      <c r="E12" s="30">
        <v>30</v>
      </c>
      <c r="F12" s="10"/>
      <c r="G12" s="10"/>
      <c r="H12" s="10"/>
      <c r="I12" s="10"/>
      <c r="J12" s="10"/>
      <c r="K12" s="10"/>
      <c r="L12" s="10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6.5" customHeight="1" x14ac:dyDescent="0.45">
      <c r="A13" s="10"/>
      <c r="B13" s="33" t="s">
        <v>88</v>
      </c>
      <c r="C13" s="34" t="s">
        <v>89</v>
      </c>
      <c r="D13" s="35">
        <v>180</v>
      </c>
      <c r="E13" s="35">
        <v>210</v>
      </c>
      <c r="F13" s="10"/>
      <c r="G13" s="10"/>
      <c r="H13" s="10"/>
      <c r="I13" s="10"/>
      <c r="J13" s="10"/>
      <c r="K13" s="10"/>
      <c r="L13" s="1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6.5" customHeight="1" x14ac:dyDescent="0.45">
      <c r="A14" s="10"/>
      <c r="B14" s="27" t="s">
        <v>91</v>
      </c>
      <c r="C14" s="28" t="s">
        <v>92</v>
      </c>
      <c r="D14" s="30">
        <v>88</v>
      </c>
      <c r="E14" s="30">
        <v>110</v>
      </c>
      <c r="F14" s="10"/>
      <c r="G14" s="10"/>
      <c r="H14" s="10"/>
      <c r="I14" s="10"/>
      <c r="J14" s="10"/>
      <c r="K14" s="10"/>
      <c r="L14" s="1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6.5" customHeight="1" x14ac:dyDescent="0.45">
      <c r="A15" s="10"/>
      <c r="B15" s="33" t="s">
        <v>95</v>
      </c>
      <c r="C15" s="34" t="s">
        <v>96</v>
      </c>
      <c r="D15" s="35">
        <v>320</v>
      </c>
      <c r="E15" s="35">
        <v>350</v>
      </c>
      <c r="F15" s="10"/>
      <c r="G15" s="10"/>
      <c r="H15" s="10"/>
      <c r="I15" s="10"/>
      <c r="J15" s="10"/>
      <c r="K15" s="10"/>
      <c r="L15" s="1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6.5" customHeight="1" x14ac:dyDescent="0.45">
      <c r="A16" s="10"/>
      <c r="B16" s="27" t="s">
        <v>98</v>
      </c>
      <c r="C16" s="28" t="s">
        <v>99</v>
      </c>
      <c r="D16" s="30">
        <v>95</v>
      </c>
      <c r="E16" s="30">
        <v>120</v>
      </c>
      <c r="F16" s="10"/>
      <c r="G16" s="10"/>
      <c r="H16" s="10"/>
      <c r="I16" s="10"/>
      <c r="J16" s="10"/>
      <c r="K16" s="10"/>
      <c r="L16" s="1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6.5" customHeight="1" x14ac:dyDescent="0.45">
      <c r="A17" s="10"/>
      <c r="B17" s="33" t="s">
        <v>100</v>
      </c>
      <c r="C17" s="34" t="s">
        <v>101</v>
      </c>
      <c r="D17" s="35">
        <v>250</v>
      </c>
      <c r="E17" s="35">
        <v>280</v>
      </c>
      <c r="F17" s="10"/>
      <c r="G17" s="10"/>
      <c r="H17" s="10"/>
      <c r="I17" s="10"/>
      <c r="J17" s="10"/>
      <c r="K17" s="10"/>
      <c r="L17" s="1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6.5" customHeight="1" x14ac:dyDescent="0.45">
      <c r="A18" s="10"/>
      <c r="B18" s="27" t="s">
        <v>103</v>
      </c>
      <c r="C18" s="28" t="s">
        <v>104</v>
      </c>
      <c r="D18" s="30">
        <v>42</v>
      </c>
      <c r="E18" s="30">
        <v>55</v>
      </c>
      <c r="F18" s="10"/>
      <c r="G18" s="10"/>
      <c r="H18" s="10"/>
      <c r="I18" s="10"/>
      <c r="J18" s="10"/>
      <c r="K18" s="10"/>
      <c r="L18" s="1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3.5" customHeight="1" x14ac:dyDescent="0.45">
      <c r="A20" s="10"/>
      <c r="B20" s="70" t="s">
        <v>110</v>
      </c>
      <c r="C20" s="71"/>
      <c r="D20" s="71"/>
      <c r="E20" s="71"/>
      <c r="F20" s="10"/>
      <c r="G20" s="10"/>
      <c r="H20" s="10"/>
      <c r="I20" s="10"/>
      <c r="J20" s="10"/>
      <c r="K20" s="10"/>
      <c r="L20" s="1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x14ac:dyDescent="0.4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x14ac:dyDescent="0.4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x14ac:dyDescent="0.4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x14ac:dyDescent="0.4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x14ac:dyDescent="0.4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x14ac:dyDescent="0.4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x14ac:dyDescent="0.4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x14ac:dyDescent="0.4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x14ac:dyDescent="0.4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x14ac:dyDescent="0.4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x14ac:dyDescent="0.4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x14ac:dyDescent="0.4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x14ac:dyDescent="0.4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x14ac:dyDescent="0.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x14ac:dyDescent="0.4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x14ac:dyDescent="0.4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x14ac:dyDescent="0.4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x14ac:dyDescent="0.4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</sheetData>
  <mergeCells count="10">
    <mergeCell ref="Q2:S2"/>
    <mergeCell ref="H3:J3"/>
    <mergeCell ref="B5:E5"/>
    <mergeCell ref="B6:E6"/>
    <mergeCell ref="B20:E20"/>
    <mergeCell ref="B2:D2"/>
    <mergeCell ref="E2:G2"/>
    <mergeCell ref="H2:J2"/>
    <mergeCell ref="K2:M2"/>
    <mergeCell ref="N2:P2"/>
  </mergeCells>
  <hyperlinks>
    <hyperlink ref="B2" r:id="rId1" location="'01_Dashboard'!A1" xr:uid="{00000000-0004-0000-0200-000000000000}"/>
    <hyperlink ref="E2" r:id="rId2" location="'02_Config_Master'!A1" xr:uid="{00000000-0004-0000-0200-000001000000}"/>
    <hyperlink ref="K2" r:id="rId3" location="'04_Import_WMS'!A1" xr:uid="{00000000-0004-0000-0200-000002000000}"/>
    <hyperlink ref="N2" r:id="rId4" location="'05_Import_3PL'!A1" xr:uid="{00000000-0004-0000-0200-000003000000}"/>
    <hyperlink ref="Q2" r:id="rId5" location="'06_Calc_Engine'!A1" xr:uid="{00000000-0004-0000-0200-000004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1C2C"/>
  </sheetPr>
  <dimension ref="A1:X55"/>
  <sheetViews>
    <sheetView showGridLines="0" showRowColHeaders="0" zoomScaleNormal="100" workbookViewId="0"/>
  </sheetViews>
  <sheetFormatPr defaultColWidth="8.6640625" defaultRowHeight="14.25" x14ac:dyDescent="0.45"/>
  <cols>
    <col min="1" max="1" width="2" customWidth="1"/>
    <col min="2" max="2" width="22" customWidth="1"/>
    <col min="3" max="3" width="32" customWidth="1"/>
    <col min="4" max="5" width="18" customWidth="1"/>
    <col min="6" max="6" width="2" customWidth="1"/>
  </cols>
  <sheetData>
    <row r="1" spans="1:24" x14ac:dyDescent="0.4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25.5" customHeight="1" x14ac:dyDescent="0.45">
      <c r="A2" s="11"/>
      <c r="B2" s="49" t="s">
        <v>0</v>
      </c>
      <c r="C2" s="49"/>
      <c r="D2" s="49"/>
      <c r="E2" s="49" t="s">
        <v>1</v>
      </c>
      <c r="F2" s="49"/>
      <c r="G2" s="49"/>
      <c r="H2" s="49" t="s">
        <v>2</v>
      </c>
      <c r="I2" s="49"/>
      <c r="J2" s="49"/>
      <c r="K2" s="55" t="s">
        <v>3</v>
      </c>
      <c r="L2" s="55"/>
      <c r="M2" s="55"/>
      <c r="N2" s="49" t="s">
        <v>4</v>
      </c>
      <c r="O2" s="49"/>
      <c r="P2" s="49"/>
      <c r="Q2" s="49" t="s">
        <v>5</v>
      </c>
      <c r="R2" s="49"/>
      <c r="S2" s="49"/>
      <c r="T2" s="11"/>
      <c r="U2" s="11"/>
      <c r="V2" s="11"/>
      <c r="W2" s="11"/>
      <c r="X2" s="11"/>
    </row>
    <row r="3" spans="1:24" ht="4.5" customHeight="1" x14ac:dyDescent="0.45">
      <c r="A3" s="11"/>
      <c r="B3" s="11"/>
      <c r="C3" s="11"/>
      <c r="D3" s="11"/>
      <c r="E3" s="11"/>
      <c r="F3" s="11"/>
      <c r="G3" s="11"/>
      <c r="H3" s="11"/>
      <c r="I3" s="11"/>
      <c r="J3" s="11"/>
      <c r="K3" s="50"/>
      <c r="L3" s="51"/>
      <c r="M3" s="5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37.5" customHeight="1" x14ac:dyDescent="0.45">
      <c r="A5" s="10"/>
      <c r="B5" s="52" t="s">
        <v>111</v>
      </c>
      <c r="C5" s="52"/>
      <c r="D5" s="52"/>
      <c r="E5" s="52"/>
      <c r="F5" s="10"/>
      <c r="G5" s="10"/>
      <c r="H5" s="10"/>
      <c r="I5" s="10"/>
      <c r="J5" s="10"/>
      <c r="K5" s="10"/>
      <c r="L5" s="1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21.75" customHeight="1" x14ac:dyDescent="0.45">
      <c r="A6" s="10"/>
      <c r="B6" s="53" t="s">
        <v>112</v>
      </c>
      <c r="C6" s="54"/>
      <c r="D6" s="54"/>
      <c r="E6" s="54"/>
      <c r="F6" s="10"/>
      <c r="G6" s="10"/>
      <c r="H6" s="10"/>
      <c r="I6" s="10"/>
      <c r="J6" s="10"/>
      <c r="K6" s="10"/>
      <c r="L6" s="1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6" customHeight="1" x14ac:dyDescent="0.4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27.75" customHeight="1" x14ac:dyDescent="0.45">
      <c r="A8" s="10"/>
      <c r="B8" s="1" t="s">
        <v>67</v>
      </c>
      <c r="C8" s="1" t="s">
        <v>113</v>
      </c>
      <c r="D8" s="2" t="s">
        <v>114</v>
      </c>
      <c r="E8" s="2" t="s">
        <v>115</v>
      </c>
      <c r="F8" s="10"/>
      <c r="G8" s="10"/>
      <c r="H8" s="10"/>
      <c r="I8" s="10"/>
      <c r="J8" s="10"/>
      <c r="K8" s="10"/>
      <c r="L8" s="1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6.5" customHeight="1" x14ac:dyDescent="0.45">
      <c r="A9" s="10"/>
      <c r="B9" s="33" t="s">
        <v>74</v>
      </c>
      <c r="C9" s="34" t="s">
        <v>116</v>
      </c>
      <c r="D9" s="35">
        <v>195</v>
      </c>
      <c r="E9" s="35">
        <v>55</v>
      </c>
      <c r="F9" s="10"/>
      <c r="G9" s="10"/>
      <c r="H9" s="10"/>
      <c r="I9" s="10"/>
      <c r="J9" s="10"/>
      <c r="K9" s="10"/>
      <c r="L9" s="10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6.5" customHeight="1" x14ac:dyDescent="0.45">
      <c r="A10" s="10"/>
      <c r="B10" s="27" t="s">
        <v>78</v>
      </c>
      <c r="C10" s="28" t="s">
        <v>117</v>
      </c>
      <c r="D10" s="30">
        <v>88</v>
      </c>
      <c r="E10" s="30">
        <v>23</v>
      </c>
      <c r="F10" s="10"/>
      <c r="G10" s="10"/>
      <c r="H10" s="10"/>
      <c r="I10" s="10"/>
      <c r="J10" s="10"/>
      <c r="K10" s="10"/>
      <c r="L10" s="1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6.5" customHeight="1" x14ac:dyDescent="0.45">
      <c r="A11" s="10"/>
      <c r="B11" s="33" t="s">
        <v>81</v>
      </c>
      <c r="C11" s="34" t="s">
        <v>118</v>
      </c>
      <c r="D11" s="35">
        <v>47</v>
      </c>
      <c r="E11" s="35">
        <v>12</v>
      </c>
      <c r="F11" s="10"/>
      <c r="G11" s="10"/>
      <c r="H11" s="10"/>
      <c r="I11" s="10"/>
      <c r="J11" s="10"/>
      <c r="K11" s="10"/>
      <c r="L11" s="10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6.5" customHeight="1" x14ac:dyDescent="0.45">
      <c r="A12" s="10"/>
      <c r="B12" s="27" t="s">
        <v>84</v>
      </c>
      <c r="C12" s="28" t="s">
        <v>119</v>
      </c>
      <c r="D12" s="30">
        <v>30</v>
      </c>
      <c r="E12" s="30">
        <v>5</v>
      </c>
      <c r="F12" s="10"/>
      <c r="G12" s="10"/>
      <c r="H12" s="10"/>
      <c r="I12" s="10"/>
      <c r="J12" s="10"/>
      <c r="K12" s="10"/>
      <c r="L12" s="10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6.5" customHeight="1" x14ac:dyDescent="0.45">
      <c r="A13" s="10"/>
      <c r="B13" s="33" t="s">
        <v>88</v>
      </c>
      <c r="C13" s="34" t="s">
        <v>120</v>
      </c>
      <c r="D13" s="35">
        <v>208</v>
      </c>
      <c r="E13" s="35">
        <v>30</v>
      </c>
      <c r="F13" s="10"/>
      <c r="G13" s="10"/>
      <c r="H13" s="10"/>
      <c r="I13" s="10"/>
      <c r="J13" s="10"/>
      <c r="K13" s="10"/>
      <c r="L13" s="1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6.5" customHeight="1" x14ac:dyDescent="0.45">
      <c r="A14" s="10"/>
      <c r="B14" s="27" t="s">
        <v>91</v>
      </c>
      <c r="C14" s="28" t="s">
        <v>121</v>
      </c>
      <c r="D14" s="30">
        <v>110</v>
      </c>
      <c r="E14" s="30">
        <v>22</v>
      </c>
      <c r="F14" s="10"/>
      <c r="G14" s="10"/>
      <c r="H14" s="10"/>
      <c r="I14" s="10"/>
      <c r="J14" s="10"/>
      <c r="K14" s="10"/>
      <c r="L14" s="1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6.5" customHeight="1" x14ac:dyDescent="0.45">
      <c r="A15" s="10"/>
      <c r="B15" s="33" t="s">
        <v>95</v>
      </c>
      <c r="C15" s="34" t="s">
        <v>122</v>
      </c>
      <c r="D15" s="35">
        <v>345</v>
      </c>
      <c r="E15" s="35">
        <v>30</v>
      </c>
      <c r="F15" s="10"/>
      <c r="G15" s="10"/>
      <c r="H15" s="10"/>
      <c r="I15" s="10"/>
      <c r="J15" s="10"/>
      <c r="K15" s="10"/>
      <c r="L15" s="1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6.5" customHeight="1" x14ac:dyDescent="0.45">
      <c r="A16" s="10"/>
      <c r="B16" s="27" t="s">
        <v>98</v>
      </c>
      <c r="C16" s="28" t="s">
        <v>123</v>
      </c>
      <c r="D16" s="30">
        <v>115</v>
      </c>
      <c r="E16" s="30">
        <v>25</v>
      </c>
      <c r="F16" s="10"/>
      <c r="G16" s="10"/>
      <c r="H16" s="10"/>
      <c r="I16" s="10"/>
      <c r="J16" s="10"/>
      <c r="K16" s="10"/>
      <c r="L16" s="1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6.5" customHeight="1" x14ac:dyDescent="0.45">
      <c r="A17" s="10"/>
      <c r="B17" s="33" t="s">
        <v>100</v>
      </c>
      <c r="C17" s="34" t="s">
        <v>124</v>
      </c>
      <c r="D17" s="35">
        <v>278</v>
      </c>
      <c r="E17" s="35">
        <v>30</v>
      </c>
      <c r="F17" s="10"/>
      <c r="G17" s="10"/>
      <c r="H17" s="10"/>
      <c r="I17" s="10"/>
      <c r="J17" s="10"/>
      <c r="K17" s="10"/>
      <c r="L17" s="1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6.5" customHeight="1" x14ac:dyDescent="0.45">
      <c r="A18" s="10"/>
      <c r="B18" s="27" t="s">
        <v>103</v>
      </c>
      <c r="C18" s="28" t="s">
        <v>125</v>
      </c>
      <c r="D18" s="30">
        <v>52</v>
      </c>
      <c r="E18" s="30">
        <v>13</v>
      </c>
      <c r="F18" s="10"/>
      <c r="G18" s="10"/>
      <c r="H18" s="10"/>
      <c r="I18" s="10"/>
      <c r="J18" s="10"/>
      <c r="K18" s="10"/>
      <c r="L18" s="1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3.5" customHeight="1" x14ac:dyDescent="0.45">
      <c r="A20" s="10"/>
      <c r="B20" s="70" t="s">
        <v>110</v>
      </c>
      <c r="C20" s="71"/>
      <c r="D20" s="71"/>
      <c r="E20" s="71"/>
      <c r="F20" s="10"/>
      <c r="G20" s="10"/>
      <c r="H20" s="10"/>
      <c r="I20" s="10"/>
      <c r="J20" s="10"/>
      <c r="K20" s="10"/>
      <c r="L20" s="1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x14ac:dyDescent="0.4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x14ac:dyDescent="0.4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x14ac:dyDescent="0.4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x14ac:dyDescent="0.4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x14ac:dyDescent="0.4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x14ac:dyDescent="0.4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x14ac:dyDescent="0.4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x14ac:dyDescent="0.4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x14ac:dyDescent="0.4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x14ac:dyDescent="0.4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x14ac:dyDescent="0.4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x14ac:dyDescent="0.4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x14ac:dyDescent="0.4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x14ac:dyDescent="0.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x14ac:dyDescent="0.4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x14ac:dyDescent="0.4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x14ac:dyDescent="0.4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x14ac:dyDescent="0.4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</sheetData>
  <mergeCells count="10">
    <mergeCell ref="Q2:S2"/>
    <mergeCell ref="K3:M3"/>
    <mergeCell ref="B5:E5"/>
    <mergeCell ref="B6:E6"/>
    <mergeCell ref="B20:E20"/>
    <mergeCell ref="B2:D2"/>
    <mergeCell ref="E2:G2"/>
    <mergeCell ref="H2:J2"/>
    <mergeCell ref="K2:M2"/>
    <mergeCell ref="N2:P2"/>
  </mergeCells>
  <hyperlinks>
    <hyperlink ref="B2" r:id="rId1" location="'01_Dashboard'!A1" xr:uid="{00000000-0004-0000-0300-000000000000}"/>
    <hyperlink ref="E2" r:id="rId2" location="'02_Config_Master'!A1" xr:uid="{00000000-0004-0000-0300-000001000000}"/>
    <hyperlink ref="H2" r:id="rId3" location="'03_Import_Shopify'!A1" xr:uid="{00000000-0004-0000-0300-000002000000}"/>
    <hyperlink ref="N2" r:id="rId4" location="'05_Import_3PL'!A1" xr:uid="{00000000-0004-0000-0300-000003000000}"/>
    <hyperlink ref="Q2" r:id="rId5" location="'06_Calc_Engine'!A1" xr:uid="{00000000-0004-0000-0300-000004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1C2C"/>
  </sheetPr>
  <dimension ref="A1:X55"/>
  <sheetViews>
    <sheetView showGridLines="0" showRowColHeaders="0" zoomScaleNormal="100" workbookViewId="0"/>
  </sheetViews>
  <sheetFormatPr defaultColWidth="8.6640625" defaultRowHeight="14.25" x14ac:dyDescent="0.45"/>
  <cols>
    <col min="1" max="1" width="2" customWidth="1"/>
    <col min="2" max="2" width="22" customWidth="1"/>
    <col min="3" max="3" width="32" customWidth="1"/>
    <col min="4" max="5" width="18" customWidth="1"/>
    <col min="6" max="6" width="2" customWidth="1"/>
  </cols>
  <sheetData>
    <row r="1" spans="1:24" x14ac:dyDescent="0.4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25.5" customHeight="1" x14ac:dyDescent="0.45">
      <c r="A2" s="11"/>
      <c r="B2" s="49" t="s">
        <v>0</v>
      </c>
      <c r="C2" s="49"/>
      <c r="D2" s="49"/>
      <c r="E2" s="49" t="s">
        <v>1</v>
      </c>
      <c r="F2" s="49"/>
      <c r="G2" s="49"/>
      <c r="H2" s="49" t="s">
        <v>2</v>
      </c>
      <c r="I2" s="49"/>
      <c r="J2" s="49"/>
      <c r="K2" s="49" t="s">
        <v>3</v>
      </c>
      <c r="L2" s="49"/>
      <c r="M2" s="49"/>
      <c r="N2" s="55" t="s">
        <v>4</v>
      </c>
      <c r="O2" s="55"/>
      <c r="P2" s="55"/>
      <c r="Q2" s="49" t="s">
        <v>5</v>
      </c>
      <c r="R2" s="49"/>
      <c r="S2" s="49"/>
      <c r="T2" s="11"/>
      <c r="U2" s="11"/>
      <c r="V2" s="11"/>
      <c r="W2" s="11"/>
      <c r="X2" s="11"/>
    </row>
    <row r="3" spans="1:24" ht="4.5" customHeight="1" x14ac:dyDescent="0.4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50"/>
      <c r="O3" s="51"/>
      <c r="P3" s="51"/>
      <c r="Q3" s="11"/>
      <c r="R3" s="11"/>
      <c r="S3" s="11"/>
      <c r="T3" s="11"/>
      <c r="U3" s="11"/>
      <c r="V3" s="11"/>
      <c r="W3" s="11"/>
      <c r="X3" s="11"/>
    </row>
    <row r="4" spans="1:24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37.5" customHeight="1" x14ac:dyDescent="0.45">
      <c r="A5" s="10"/>
      <c r="B5" s="52" t="s">
        <v>126</v>
      </c>
      <c r="C5" s="52"/>
      <c r="D5" s="52"/>
      <c r="E5" s="52"/>
      <c r="F5" s="10"/>
      <c r="G5" s="10"/>
      <c r="H5" s="10"/>
      <c r="I5" s="10"/>
      <c r="J5" s="10"/>
      <c r="K5" s="10"/>
      <c r="L5" s="1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21.75" customHeight="1" x14ac:dyDescent="0.45">
      <c r="A6" s="10"/>
      <c r="B6" s="53" t="s">
        <v>127</v>
      </c>
      <c r="C6" s="54"/>
      <c r="D6" s="54"/>
      <c r="E6" s="54"/>
      <c r="F6" s="10"/>
      <c r="G6" s="10"/>
      <c r="H6" s="10"/>
      <c r="I6" s="10"/>
      <c r="J6" s="10"/>
      <c r="K6" s="10"/>
      <c r="L6" s="1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6" customHeight="1" x14ac:dyDescent="0.4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27.75" customHeight="1" x14ac:dyDescent="0.45">
      <c r="A8" s="10"/>
      <c r="B8" s="1" t="s">
        <v>128</v>
      </c>
      <c r="C8" s="1" t="s">
        <v>129</v>
      </c>
      <c r="D8" s="2" t="s">
        <v>130</v>
      </c>
      <c r="E8" s="2" t="s">
        <v>131</v>
      </c>
      <c r="F8" s="10"/>
      <c r="G8" s="10"/>
      <c r="H8" s="10"/>
      <c r="I8" s="10"/>
      <c r="J8" s="10"/>
      <c r="K8" s="10"/>
      <c r="L8" s="1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6.5" customHeight="1" x14ac:dyDescent="0.45">
      <c r="A9" s="10"/>
      <c r="B9" s="33" t="s">
        <v>74</v>
      </c>
      <c r="C9" s="35">
        <v>198</v>
      </c>
      <c r="D9" s="35">
        <v>5</v>
      </c>
      <c r="E9" s="35">
        <v>193</v>
      </c>
      <c r="F9" s="10"/>
      <c r="G9" s="10"/>
      <c r="H9" s="10"/>
      <c r="I9" s="10"/>
      <c r="J9" s="10"/>
      <c r="K9" s="10"/>
      <c r="L9" s="10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6.5" customHeight="1" x14ac:dyDescent="0.45">
      <c r="A10" s="10"/>
      <c r="B10" s="27" t="s">
        <v>78</v>
      </c>
      <c r="C10" s="30">
        <v>93</v>
      </c>
      <c r="D10" s="30">
        <v>3</v>
      </c>
      <c r="E10" s="30">
        <v>90</v>
      </c>
      <c r="F10" s="10"/>
      <c r="G10" s="10"/>
      <c r="H10" s="10"/>
      <c r="I10" s="10"/>
      <c r="J10" s="10"/>
      <c r="K10" s="10"/>
      <c r="L10" s="1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6.5" customHeight="1" x14ac:dyDescent="0.45">
      <c r="A11" s="10"/>
      <c r="B11" s="33" t="s">
        <v>81</v>
      </c>
      <c r="C11" s="35">
        <v>49</v>
      </c>
      <c r="D11" s="35">
        <v>2</v>
      </c>
      <c r="E11" s="35">
        <v>47</v>
      </c>
      <c r="F11" s="10"/>
      <c r="G11" s="10"/>
      <c r="H11" s="10"/>
      <c r="I11" s="10"/>
      <c r="J11" s="10"/>
      <c r="K11" s="10"/>
      <c r="L11" s="10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6.5" customHeight="1" x14ac:dyDescent="0.45">
      <c r="A12" s="10"/>
      <c r="B12" s="27" t="s">
        <v>84</v>
      </c>
      <c r="C12" s="30">
        <v>30</v>
      </c>
      <c r="D12" s="30">
        <v>0</v>
      </c>
      <c r="E12" s="30">
        <v>30</v>
      </c>
      <c r="F12" s="10"/>
      <c r="G12" s="10"/>
      <c r="H12" s="10"/>
      <c r="I12" s="10"/>
      <c r="J12" s="10"/>
      <c r="K12" s="10"/>
      <c r="L12" s="10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6.5" customHeight="1" x14ac:dyDescent="0.45">
      <c r="A13" s="10"/>
      <c r="B13" s="33" t="s">
        <v>88</v>
      </c>
      <c r="C13" s="35">
        <v>209</v>
      </c>
      <c r="D13" s="35">
        <v>8</v>
      </c>
      <c r="E13" s="35">
        <v>201</v>
      </c>
      <c r="F13" s="10"/>
      <c r="G13" s="10"/>
      <c r="H13" s="10"/>
      <c r="I13" s="10"/>
      <c r="J13" s="10"/>
      <c r="K13" s="10"/>
      <c r="L13" s="1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6.5" customHeight="1" x14ac:dyDescent="0.45">
      <c r="A14" s="10"/>
      <c r="B14" s="27" t="s">
        <v>91</v>
      </c>
      <c r="C14" s="30">
        <v>108</v>
      </c>
      <c r="D14" s="30">
        <v>5</v>
      </c>
      <c r="E14" s="30">
        <v>103</v>
      </c>
      <c r="F14" s="10"/>
      <c r="G14" s="10"/>
      <c r="H14" s="10"/>
      <c r="I14" s="10"/>
      <c r="J14" s="10"/>
      <c r="K14" s="10"/>
      <c r="L14" s="1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6.5" customHeight="1" x14ac:dyDescent="0.45">
      <c r="A15" s="10"/>
      <c r="B15" s="33" t="s">
        <v>95</v>
      </c>
      <c r="C15" s="35">
        <v>348</v>
      </c>
      <c r="D15" s="35">
        <v>10</v>
      </c>
      <c r="E15" s="35">
        <v>338</v>
      </c>
      <c r="F15" s="10"/>
      <c r="G15" s="10"/>
      <c r="H15" s="10"/>
      <c r="I15" s="10"/>
      <c r="J15" s="10"/>
      <c r="K15" s="10"/>
      <c r="L15" s="1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6.5" customHeight="1" x14ac:dyDescent="0.45">
      <c r="A16" s="10"/>
      <c r="B16" s="27" t="s">
        <v>98</v>
      </c>
      <c r="C16" s="30">
        <v>116</v>
      </c>
      <c r="D16" s="30">
        <v>3</v>
      </c>
      <c r="E16" s="30">
        <v>113</v>
      </c>
      <c r="F16" s="10"/>
      <c r="G16" s="10"/>
      <c r="H16" s="10"/>
      <c r="I16" s="10"/>
      <c r="J16" s="10"/>
      <c r="K16" s="10"/>
      <c r="L16" s="1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6.5" customHeight="1" x14ac:dyDescent="0.45">
      <c r="A17" s="10"/>
      <c r="B17" s="33" t="s">
        <v>100</v>
      </c>
      <c r="C17" s="35">
        <v>279</v>
      </c>
      <c r="D17" s="35">
        <v>7</v>
      </c>
      <c r="E17" s="35">
        <v>272</v>
      </c>
      <c r="F17" s="10"/>
      <c r="G17" s="10"/>
      <c r="H17" s="10"/>
      <c r="I17" s="10"/>
      <c r="J17" s="10"/>
      <c r="K17" s="10"/>
      <c r="L17" s="1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6.5" customHeight="1" x14ac:dyDescent="0.45">
      <c r="A18" s="10"/>
      <c r="B18" s="27" t="s">
        <v>103</v>
      </c>
      <c r="C18" s="30">
        <v>53</v>
      </c>
      <c r="D18" s="30">
        <v>2</v>
      </c>
      <c r="E18" s="30">
        <v>51</v>
      </c>
      <c r="F18" s="10"/>
      <c r="G18" s="10"/>
      <c r="H18" s="10"/>
      <c r="I18" s="10"/>
      <c r="J18" s="10"/>
      <c r="K18" s="10"/>
      <c r="L18" s="1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3.5" customHeight="1" x14ac:dyDescent="0.45">
      <c r="A20" s="10"/>
      <c r="B20" s="70" t="s">
        <v>110</v>
      </c>
      <c r="C20" s="71"/>
      <c r="D20" s="71"/>
      <c r="E20" s="71"/>
      <c r="F20" s="10"/>
      <c r="G20" s="10"/>
      <c r="H20" s="10"/>
      <c r="I20" s="10"/>
      <c r="J20" s="10"/>
      <c r="K20" s="10"/>
      <c r="L20" s="1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x14ac:dyDescent="0.4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x14ac:dyDescent="0.4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x14ac:dyDescent="0.4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x14ac:dyDescent="0.4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x14ac:dyDescent="0.4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x14ac:dyDescent="0.4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x14ac:dyDescent="0.4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x14ac:dyDescent="0.4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x14ac:dyDescent="0.4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x14ac:dyDescent="0.4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x14ac:dyDescent="0.4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x14ac:dyDescent="0.4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x14ac:dyDescent="0.4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x14ac:dyDescent="0.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x14ac:dyDescent="0.4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x14ac:dyDescent="0.4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x14ac:dyDescent="0.4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x14ac:dyDescent="0.4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</sheetData>
  <mergeCells count="10">
    <mergeCell ref="Q2:S2"/>
    <mergeCell ref="N3:P3"/>
    <mergeCell ref="B5:E5"/>
    <mergeCell ref="B6:E6"/>
    <mergeCell ref="B20:E20"/>
    <mergeCell ref="B2:D2"/>
    <mergeCell ref="E2:G2"/>
    <mergeCell ref="H2:J2"/>
    <mergeCell ref="K2:M2"/>
    <mergeCell ref="N2:P2"/>
  </mergeCells>
  <hyperlinks>
    <hyperlink ref="B2" r:id="rId1" location="'01_Dashboard'!A1" xr:uid="{00000000-0004-0000-0400-000000000000}"/>
    <hyperlink ref="E2" r:id="rId2" location="'02_Config_Master'!A1" xr:uid="{00000000-0004-0000-0400-000001000000}"/>
    <hyperlink ref="H2" r:id="rId3" location="'03_Import_Shopify'!A1" xr:uid="{00000000-0004-0000-0400-000002000000}"/>
    <hyperlink ref="K2" r:id="rId4" location="'04_Import_WMS'!A1" xr:uid="{00000000-0004-0000-0400-000003000000}"/>
    <hyperlink ref="Q2" r:id="rId5" location="'06_Calc_Engine'!A1" xr:uid="{00000000-0004-0000-0400-000004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34E64"/>
  </sheetPr>
  <dimension ref="A1:X55"/>
  <sheetViews>
    <sheetView showGridLines="0" showRowColHeaders="0" zoomScaleNormal="100" workbookViewId="0">
      <selection activeCell="P13" sqref="P13"/>
    </sheetView>
  </sheetViews>
  <sheetFormatPr defaultColWidth="8.6640625" defaultRowHeight="14.25" x14ac:dyDescent="0.45"/>
  <cols>
    <col min="1" max="1" width="2" customWidth="1"/>
    <col min="2" max="3" width="20" customWidth="1"/>
    <col min="4" max="4" width="12" customWidth="1"/>
    <col min="5" max="7" width="14" customWidth="1"/>
    <col min="8" max="9" width="15" customWidth="1"/>
    <col min="10" max="12" width="13" customWidth="1"/>
    <col min="13" max="13" width="11" customWidth="1"/>
    <col min="14" max="15" width="14" customWidth="1"/>
    <col min="16" max="16" width="22" customWidth="1"/>
    <col min="17" max="17" width="2" customWidth="1"/>
  </cols>
  <sheetData>
    <row r="1" spans="1:24" x14ac:dyDescent="0.4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9"/>
      <c r="V1" s="19"/>
      <c r="W1" s="19"/>
      <c r="X1" s="19"/>
    </row>
    <row r="2" spans="1:24" ht="25.5" customHeight="1" x14ac:dyDescent="0.45">
      <c r="A2" s="11"/>
      <c r="B2" s="49" t="s">
        <v>0</v>
      </c>
      <c r="C2" s="49"/>
      <c r="D2" s="49"/>
      <c r="E2" s="49" t="s">
        <v>1</v>
      </c>
      <c r="F2" s="49"/>
      <c r="G2" s="49"/>
      <c r="H2" s="49" t="s">
        <v>2</v>
      </c>
      <c r="I2" s="49"/>
      <c r="J2" s="49"/>
      <c r="K2" s="49" t="s">
        <v>3</v>
      </c>
      <c r="L2" s="49"/>
      <c r="M2" s="49"/>
      <c r="N2" s="49" t="s">
        <v>4</v>
      </c>
      <c r="O2" s="49"/>
      <c r="P2" s="49"/>
      <c r="Q2" s="55" t="s">
        <v>5</v>
      </c>
      <c r="R2" s="55"/>
      <c r="S2" s="55"/>
      <c r="T2" s="11"/>
      <c r="U2" s="11"/>
      <c r="V2" s="11"/>
      <c r="W2" s="11"/>
      <c r="X2" s="11"/>
    </row>
    <row r="3" spans="1:24" ht="4.5" customHeight="1" x14ac:dyDescent="0.4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50"/>
      <c r="R3" s="51"/>
      <c r="S3" s="51"/>
      <c r="T3" s="11"/>
      <c r="U3" s="11"/>
      <c r="V3" s="11"/>
      <c r="W3" s="11"/>
      <c r="X3" s="11"/>
    </row>
    <row r="4" spans="1:24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9"/>
      <c r="V4" s="19"/>
      <c r="W4" s="19"/>
      <c r="X4" s="19"/>
    </row>
    <row r="5" spans="1:24" ht="37.5" customHeight="1" x14ac:dyDescent="0.45">
      <c r="A5" s="10"/>
      <c r="B5" s="52" t="s">
        <v>132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10"/>
      <c r="R5" s="10"/>
      <c r="S5" s="10"/>
      <c r="T5" s="10"/>
      <c r="U5" s="19"/>
      <c r="V5" s="19"/>
      <c r="W5" s="19"/>
      <c r="X5" s="19"/>
    </row>
    <row r="6" spans="1:24" ht="21.75" customHeight="1" x14ac:dyDescent="0.45">
      <c r="A6" s="10"/>
      <c r="B6" s="72" t="s">
        <v>133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10"/>
      <c r="R6" s="10"/>
      <c r="S6" s="10"/>
      <c r="T6" s="10"/>
      <c r="U6" s="19"/>
      <c r="V6" s="19"/>
      <c r="W6" s="19"/>
      <c r="X6" s="19"/>
    </row>
    <row r="7" spans="1:24" ht="6" customHeight="1" x14ac:dyDescent="0.4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9"/>
      <c r="V7" s="19"/>
      <c r="W7" s="19"/>
      <c r="X7" s="19"/>
    </row>
    <row r="8" spans="1:24" ht="27.75" customHeight="1" x14ac:dyDescent="0.45">
      <c r="A8" s="10"/>
      <c r="B8" s="3" t="s">
        <v>134</v>
      </c>
      <c r="C8" s="4" t="s">
        <v>135</v>
      </c>
      <c r="D8" s="5" t="s">
        <v>70</v>
      </c>
      <c r="E8" s="5" t="s">
        <v>136</v>
      </c>
      <c r="F8" s="5" t="s">
        <v>137</v>
      </c>
      <c r="G8" s="5" t="s">
        <v>138</v>
      </c>
      <c r="H8" s="5" t="s">
        <v>139</v>
      </c>
      <c r="I8" s="5" t="s">
        <v>140</v>
      </c>
      <c r="J8" s="5" t="s">
        <v>141</v>
      </c>
      <c r="K8" s="5" t="s">
        <v>142</v>
      </c>
      <c r="L8" s="5" t="s">
        <v>143</v>
      </c>
      <c r="M8" s="5" t="s">
        <v>144</v>
      </c>
      <c r="N8" s="6" t="s">
        <v>145</v>
      </c>
      <c r="O8" s="6" t="s">
        <v>146</v>
      </c>
      <c r="P8" s="7" t="s">
        <v>147</v>
      </c>
      <c r="Q8" s="10"/>
      <c r="R8" s="10"/>
      <c r="S8" s="10"/>
      <c r="T8" s="10"/>
      <c r="U8" s="19"/>
      <c r="V8" s="19"/>
      <c r="W8" s="19"/>
      <c r="X8" s="19"/>
    </row>
    <row r="9" spans="1:24" ht="16.5" customHeight="1" x14ac:dyDescent="0.45">
      <c r="A9" s="10"/>
      <c r="B9" s="21" t="str">
        <f>'02_Config_Master'!B9</f>
        <v>TSHIRT-001</v>
      </c>
      <c r="C9" s="36" t="str">
        <f t="shared" ref="C9:C18" si="0">UPPER(TRIM(B9))</f>
        <v>TSHIRT-001</v>
      </c>
      <c r="D9" s="23">
        <f>_xlfn.XLOOKUP(C9,'02_Config_Master'!$B:$B,'02_Config_Master'!$E:$E,0)</f>
        <v>15</v>
      </c>
      <c r="E9" s="24" cm="1">
        <f t="array" ref="E9">_xlfn.XLOOKUP(C9,UPPER(TRIM('03_Import_Shopify'!$B$2:$B$5001)),'03_Import_Shopify'!$E$2:$E$5001,0)</f>
        <v>200</v>
      </c>
      <c r="F9" s="24" cm="1">
        <f t="array" ref="F9">_xlfn.XLOOKUP(C9,UPPER(TRIM('04_Import_WMS'!$B$2:$B$5001)),'04_Import_WMS'!$D$2:$D$5001,0)</f>
        <v>195</v>
      </c>
      <c r="G9" s="24" cm="1">
        <f t="array" ref="G9">_xlfn.XLOOKUP(C9,UPPER(TRIM('05_Import_3PL'!$B$2:$B$5001)),'05_Import_3PL'!$C$2:$C$5001,0)</f>
        <v>198</v>
      </c>
      <c r="H9" s="37">
        <f t="shared" ref="H9:H18" si="1">E9-F9</f>
        <v>5</v>
      </c>
      <c r="I9" s="37">
        <f t="shared" ref="I9:I18" si="2">E9-G9</f>
        <v>2</v>
      </c>
      <c r="J9" s="23">
        <f t="shared" ref="J9:J18" si="3">IF(H9&gt;0,H9*D9,0)</f>
        <v>75</v>
      </c>
      <c r="K9" s="23">
        <f t="shared" ref="K9:K18" si="4">IF(I9&gt;0,I9*D9,0)</f>
        <v>30</v>
      </c>
      <c r="L9" s="38">
        <f t="shared" ref="L9:L18" si="5">J9+K9</f>
        <v>105</v>
      </c>
      <c r="M9" s="25">
        <f t="shared" ref="M9:M18" si="6">IFERROR(MAX(ABS(H9),ABS(I9))/E9,0)</f>
        <v>2.5000000000000001E-2</v>
      </c>
      <c r="N9" s="39">
        <f>_xlfn.XLOOKUP(C9,'02_Config_Master'!$B:$B,'02_Config_Master'!$F:$F,0)</f>
        <v>10</v>
      </c>
      <c r="O9" s="40">
        <f>_xlfn.XLOOKUP(C9,'02_Config_Master'!$B:$B,'02_Config_Master'!$G:$G,0)</f>
        <v>0.03</v>
      </c>
      <c r="P9" s="41" t="str" cm="1">
        <f t="array" ref="P9">_xlfn.IFS(M9&gt;O9,"SLA Breach",MAX(ABS(H9),ABS(I9))&gt;N9,"Threshold Breach",H9=0,"Balanced",TRUE(),"Acceptable Variance")</f>
        <v>Acceptable Variance</v>
      </c>
      <c r="Q9" s="10"/>
      <c r="R9" s="10"/>
      <c r="S9" s="10"/>
      <c r="T9" s="10"/>
      <c r="U9" s="19"/>
      <c r="V9" s="19"/>
      <c r="W9" s="19"/>
      <c r="X9" s="19"/>
    </row>
    <row r="10" spans="1:24" ht="16.5" customHeight="1" x14ac:dyDescent="0.45">
      <c r="A10" s="10"/>
      <c r="B10" s="27" t="str">
        <f>'02_Config_Master'!B10</f>
        <v>PANTS-002</v>
      </c>
      <c r="C10" s="42" t="str">
        <f t="shared" si="0"/>
        <v>PANTS-002</v>
      </c>
      <c r="D10" s="29">
        <f>_xlfn.XLOOKUP(C10,'02_Config_Master'!$B:$B,'02_Config_Master'!$E:$E,0)</f>
        <v>35</v>
      </c>
      <c r="E10" s="30" cm="1">
        <f t="array" ref="E10">_xlfn.XLOOKUP(C10,UPPER(TRIM('03_Import_Shopify'!$B$2:$B$5001)),'03_Import_Shopify'!$E$2:$E$5001,0)</f>
        <v>95</v>
      </c>
      <c r="F10" s="30" cm="1">
        <f t="array" ref="F10">_xlfn.XLOOKUP(C10,UPPER(TRIM('04_Import_WMS'!$B$2:$B$5001)),'04_Import_WMS'!$D$2:$D$5001,0)</f>
        <v>88</v>
      </c>
      <c r="G10" s="30" cm="1">
        <f t="array" ref="G10">_xlfn.XLOOKUP(C10,UPPER(TRIM('05_Import_3PL'!$B$2:$B$5001)),'05_Import_3PL'!$C$2:$C$5001,0)</f>
        <v>93</v>
      </c>
      <c r="H10" s="43">
        <f t="shared" si="1"/>
        <v>7</v>
      </c>
      <c r="I10" s="43">
        <f t="shared" si="2"/>
        <v>2</v>
      </c>
      <c r="J10" s="29">
        <f t="shared" si="3"/>
        <v>245</v>
      </c>
      <c r="K10" s="29">
        <f t="shared" si="4"/>
        <v>70</v>
      </c>
      <c r="L10" s="44">
        <f t="shared" si="5"/>
        <v>315</v>
      </c>
      <c r="M10" s="31">
        <f t="shared" si="6"/>
        <v>7.3684210526315783E-2</v>
      </c>
      <c r="N10" s="45">
        <f>_xlfn.XLOOKUP(C10,'02_Config_Master'!$B:$B,'02_Config_Master'!$F:$F,0)</f>
        <v>5</v>
      </c>
      <c r="O10" s="46">
        <f>_xlfn.XLOOKUP(C10,'02_Config_Master'!$B:$B,'02_Config_Master'!$G:$G,0)</f>
        <v>0.03</v>
      </c>
      <c r="P10" s="47" t="str" cm="1">
        <f t="array" ref="P10">_xlfn.IFS(M10&gt;O10,"SLA Breach",MAX(ABS(H10),ABS(I10))&gt;N10,"Threshold Breach",H10=0,"Balanced",TRUE(),"Acceptable Variance")</f>
        <v>SLA Breach</v>
      </c>
      <c r="Q10" s="10"/>
      <c r="R10" s="10"/>
      <c r="S10" s="10"/>
      <c r="T10" s="10"/>
      <c r="U10" s="19"/>
      <c r="V10" s="19"/>
      <c r="W10" s="19"/>
      <c r="X10" s="19"/>
    </row>
    <row r="11" spans="1:24" ht="16.5" customHeight="1" x14ac:dyDescent="0.45">
      <c r="A11" s="10"/>
      <c r="B11" s="21" t="str">
        <f>'02_Config_Master'!B11</f>
        <v>JACKET-003</v>
      </c>
      <c r="C11" s="36" t="str">
        <f t="shared" si="0"/>
        <v>JACKET-003</v>
      </c>
      <c r="D11" s="23">
        <f>_xlfn.XLOOKUP(C11,'02_Config_Master'!$B:$B,'02_Config_Master'!$E:$E,0)</f>
        <v>89</v>
      </c>
      <c r="E11" s="24" cm="1">
        <f t="array" ref="E11">_xlfn.XLOOKUP(C11,UPPER(TRIM('03_Import_Shopify'!$B$2:$B$5001)),'03_Import_Shopify'!$E$2:$E$5001,0)</f>
        <v>50</v>
      </c>
      <c r="F11" s="24" cm="1">
        <f t="array" ref="F11">_xlfn.XLOOKUP(C11,UPPER(TRIM('04_Import_WMS'!$B$2:$B$5001)),'04_Import_WMS'!$D$2:$D$5001,0)</f>
        <v>47</v>
      </c>
      <c r="G11" s="24" cm="1">
        <f t="array" ref="G11">_xlfn.XLOOKUP(C11,UPPER(TRIM('05_Import_3PL'!$B$2:$B$5001)),'05_Import_3PL'!$C$2:$C$5001,0)</f>
        <v>49</v>
      </c>
      <c r="H11" s="37">
        <f t="shared" si="1"/>
        <v>3</v>
      </c>
      <c r="I11" s="37">
        <f t="shared" si="2"/>
        <v>1</v>
      </c>
      <c r="J11" s="23">
        <f t="shared" si="3"/>
        <v>267</v>
      </c>
      <c r="K11" s="23">
        <f t="shared" si="4"/>
        <v>89</v>
      </c>
      <c r="L11" s="38">
        <f t="shared" si="5"/>
        <v>356</v>
      </c>
      <c r="M11" s="25">
        <f t="shared" si="6"/>
        <v>0.06</v>
      </c>
      <c r="N11" s="39">
        <f>_xlfn.XLOOKUP(C11,'02_Config_Master'!$B:$B,'02_Config_Master'!$F:$F,0)</f>
        <v>4</v>
      </c>
      <c r="O11" s="40">
        <f>_xlfn.XLOOKUP(C11,'02_Config_Master'!$B:$B,'02_Config_Master'!$G:$G,0)</f>
        <v>0.05</v>
      </c>
      <c r="P11" s="41" t="str" cm="1">
        <f t="array" ref="P11">_xlfn.IFS(M11&gt;O11,"SLA Breach",MAX(ABS(H11),ABS(I11))&gt;N11,"Threshold Breach",H11=0,"Balanced",TRUE(),"Acceptable Variance")</f>
        <v>SLA Breach</v>
      </c>
      <c r="Q11" s="10"/>
      <c r="R11" s="10"/>
      <c r="S11" s="10"/>
      <c r="T11" s="10"/>
      <c r="U11" s="19"/>
      <c r="V11" s="19"/>
      <c r="W11" s="19"/>
      <c r="X11" s="19"/>
    </row>
    <row r="12" spans="1:24" ht="16.5" customHeight="1" x14ac:dyDescent="0.45">
      <c r="A12" s="10"/>
      <c r="B12" s="27" t="str">
        <f>'02_Config_Master'!B12</f>
        <v>WATCH-004</v>
      </c>
      <c r="C12" s="42" t="str">
        <f t="shared" si="0"/>
        <v>WATCH-004</v>
      </c>
      <c r="D12" s="29">
        <f>_xlfn.XLOOKUP(C12,'02_Config_Master'!$B:$B,'02_Config_Master'!$E:$E,0)</f>
        <v>125</v>
      </c>
      <c r="E12" s="30" cm="1">
        <f t="array" ref="E12">_xlfn.XLOOKUP(C12,UPPER(TRIM('03_Import_Shopify'!$B$2:$B$5001)),'03_Import_Shopify'!$E$2:$E$5001,0)</f>
        <v>30</v>
      </c>
      <c r="F12" s="30" cm="1">
        <f t="array" ref="F12">_xlfn.XLOOKUP(C12,UPPER(TRIM('04_Import_WMS'!$B$2:$B$5001)),'04_Import_WMS'!$D$2:$D$5001,0)</f>
        <v>30</v>
      </c>
      <c r="G12" s="30" cm="1">
        <f t="array" ref="G12">_xlfn.XLOOKUP(C12,UPPER(TRIM('05_Import_3PL'!$B$2:$B$5001)),'05_Import_3PL'!$C$2:$C$5001,0)</f>
        <v>30</v>
      </c>
      <c r="H12" s="43">
        <f t="shared" si="1"/>
        <v>0</v>
      </c>
      <c r="I12" s="43">
        <f t="shared" si="2"/>
        <v>0</v>
      </c>
      <c r="J12" s="29">
        <f t="shared" si="3"/>
        <v>0</v>
      </c>
      <c r="K12" s="29">
        <f t="shared" si="4"/>
        <v>0</v>
      </c>
      <c r="L12" s="44">
        <f t="shared" si="5"/>
        <v>0</v>
      </c>
      <c r="M12" s="31">
        <f t="shared" si="6"/>
        <v>0</v>
      </c>
      <c r="N12" s="45">
        <f>_xlfn.XLOOKUP(C12,'02_Config_Master'!$B:$B,'02_Config_Master'!$F:$F,0)</f>
        <v>3</v>
      </c>
      <c r="O12" s="46">
        <f>_xlfn.XLOOKUP(C12,'02_Config_Master'!$B:$B,'02_Config_Master'!$G:$G,0)</f>
        <v>0.02</v>
      </c>
      <c r="P12" s="47" t="str" cm="1">
        <f t="array" ref="P12">_xlfn.IFS(M12&gt;O12,"SLA Breach",MAX(ABS(H12),ABS(I12))&gt;N12,"Threshold Breach",H12=0,"Balanced",TRUE(),"Acceptable Variance")</f>
        <v>Balanced</v>
      </c>
      <c r="Q12" s="10"/>
      <c r="R12" s="10"/>
      <c r="S12" s="10"/>
      <c r="T12" s="10"/>
      <c r="U12" s="19"/>
      <c r="V12" s="19"/>
      <c r="W12" s="19"/>
      <c r="X12" s="19"/>
    </row>
    <row r="13" spans="1:24" ht="16.5" customHeight="1" x14ac:dyDescent="0.45">
      <c r="A13" s="10"/>
      <c r="B13" s="21" t="str">
        <f>'02_Config_Master'!B13</f>
        <v>BAG-005</v>
      </c>
      <c r="C13" s="36" t="str">
        <f t="shared" si="0"/>
        <v>BAG-005</v>
      </c>
      <c r="D13" s="23">
        <f>_xlfn.XLOOKUP(C13,'02_Config_Master'!$B:$B,'02_Config_Master'!$E:$E,0)</f>
        <v>22</v>
      </c>
      <c r="E13" s="24" cm="1">
        <f t="array" ref="E13">_xlfn.XLOOKUP(C13,UPPER(TRIM('03_Import_Shopify'!$B$2:$B$5001)),'03_Import_Shopify'!$E$2:$E$5001,0)</f>
        <v>210</v>
      </c>
      <c r="F13" s="24" cm="1">
        <f t="array" ref="F13">_xlfn.XLOOKUP(C13,UPPER(TRIM('04_Import_WMS'!$B$2:$B$5001)),'04_Import_WMS'!$D$2:$D$5001,0)</f>
        <v>208</v>
      </c>
      <c r="G13" s="24" cm="1">
        <f t="array" ref="G13">_xlfn.XLOOKUP(C13,UPPER(TRIM('05_Import_3PL'!$B$2:$B$5001)),'05_Import_3PL'!$C$2:$C$5001,0)</f>
        <v>209</v>
      </c>
      <c r="H13" s="37">
        <f t="shared" si="1"/>
        <v>2</v>
      </c>
      <c r="I13" s="37">
        <f t="shared" si="2"/>
        <v>1</v>
      </c>
      <c r="J13" s="23">
        <f t="shared" si="3"/>
        <v>44</v>
      </c>
      <c r="K13" s="23">
        <f t="shared" si="4"/>
        <v>22</v>
      </c>
      <c r="L13" s="38">
        <f t="shared" si="5"/>
        <v>66</v>
      </c>
      <c r="M13" s="25">
        <f t="shared" si="6"/>
        <v>9.5238095238095247E-3</v>
      </c>
      <c r="N13" s="39">
        <f>_xlfn.XLOOKUP(C13,'02_Config_Master'!$B:$B,'02_Config_Master'!$F:$F,0)</f>
        <v>8</v>
      </c>
      <c r="O13" s="40">
        <f>_xlfn.XLOOKUP(C13,'02_Config_Master'!$B:$B,'02_Config_Master'!$G:$G,0)</f>
        <v>0.02</v>
      </c>
      <c r="P13" s="41" t="str" cm="1">
        <f t="array" ref="P13">_xlfn.IFS(M13&gt;O13,"SLA Breach",MAX(ABS(H13),ABS(I13))&gt;N13,"Threshold Breach",H13=0,"Balanced",TRUE(),"Acceptable Variance")</f>
        <v>Acceptable Variance</v>
      </c>
      <c r="Q13" s="10"/>
      <c r="R13" s="10"/>
      <c r="S13" s="10"/>
      <c r="T13" s="10"/>
      <c r="U13" s="19"/>
      <c r="V13" s="19"/>
      <c r="W13" s="19"/>
      <c r="X13" s="19"/>
    </row>
    <row r="14" spans="1:24" ht="16.5" customHeight="1" x14ac:dyDescent="0.45">
      <c r="A14" s="10"/>
      <c r="B14" s="27" t="str">
        <f>'02_Config_Master'!B14</f>
        <v>SHOE-006</v>
      </c>
      <c r="C14" s="42" t="str">
        <f t="shared" si="0"/>
        <v>SHOE-006</v>
      </c>
      <c r="D14" s="29">
        <f>_xlfn.XLOOKUP(C14,'02_Config_Master'!$B:$B,'02_Config_Master'!$E:$E,0)</f>
        <v>65</v>
      </c>
      <c r="E14" s="30" cm="1">
        <f t="array" ref="E14">_xlfn.XLOOKUP(C14,UPPER(TRIM('03_Import_Shopify'!$B$2:$B$5001)),'03_Import_Shopify'!$E$2:$E$5001,0)</f>
        <v>110</v>
      </c>
      <c r="F14" s="30" cm="1">
        <f t="array" ref="F14">_xlfn.XLOOKUP(C14,UPPER(TRIM('04_Import_WMS'!$B$2:$B$5001)),'04_Import_WMS'!$D$2:$D$5001,0)</f>
        <v>110</v>
      </c>
      <c r="G14" s="30" cm="1">
        <f t="array" ref="G14">_xlfn.XLOOKUP(C14,UPPER(TRIM('05_Import_3PL'!$B$2:$B$5001)),'05_Import_3PL'!$C$2:$C$5001,0)</f>
        <v>108</v>
      </c>
      <c r="H14" s="43">
        <f t="shared" si="1"/>
        <v>0</v>
      </c>
      <c r="I14" s="43">
        <f t="shared" si="2"/>
        <v>2</v>
      </c>
      <c r="J14" s="29">
        <f t="shared" si="3"/>
        <v>0</v>
      </c>
      <c r="K14" s="29">
        <f t="shared" si="4"/>
        <v>130</v>
      </c>
      <c r="L14" s="44">
        <f t="shared" si="5"/>
        <v>130</v>
      </c>
      <c r="M14" s="31">
        <f t="shared" si="6"/>
        <v>1.8181818181818181E-2</v>
      </c>
      <c r="N14" s="45">
        <f>_xlfn.XLOOKUP(C14,'02_Config_Master'!$B:$B,'02_Config_Master'!$F:$F,0)</f>
        <v>5</v>
      </c>
      <c r="O14" s="46">
        <f>_xlfn.XLOOKUP(C14,'02_Config_Master'!$B:$B,'02_Config_Master'!$G:$G,0)</f>
        <v>0.03</v>
      </c>
      <c r="P14" s="47" t="str" cm="1">
        <f t="array" ref="P14">_xlfn.IFS(M14&gt;O14,"SLA Breach",MAX(ABS(H14),ABS(I14))&gt;N14,"Threshold Breach",H14=0,"Balanced",TRUE(),"Acceptable Variance")</f>
        <v>Balanced</v>
      </c>
      <c r="Q14" s="10"/>
      <c r="R14" s="10"/>
      <c r="S14" s="10"/>
      <c r="T14" s="10"/>
      <c r="U14" s="19"/>
      <c r="V14" s="19"/>
      <c r="W14" s="19"/>
      <c r="X14" s="19"/>
    </row>
    <row r="15" spans="1:24" ht="16.5" customHeight="1" x14ac:dyDescent="0.45">
      <c r="A15" s="10"/>
      <c r="B15" s="21" t="str">
        <f>'02_Config_Master'!B15</f>
        <v>HAT-007</v>
      </c>
      <c r="C15" s="36" t="str">
        <f t="shared" si="0"/>
        <v>HAT-007</v>
      </c>
      <c r="D15" s="23">
        <f>_xlfn.XLOOKUP(C15,'02_Config_Master'!$B:$B,'02_Config_Master'!$E:$E,0)</f>
        <v>12</v>
      </c>
      <c r="E15" s="24" cm="1">
        <f t="array" ref="E15">_xlfn.XLOOKUP(C15,UPPER(TRIM('03_Import_Shopify'!$B$2:$B$5001)),'03_Import_Shopify'!$E$2:$E$5001,0)</f>
        <v>350</v>
      </c>
      <c r="F15" s="24" cm="1">
        <f t="array" ref="F15">_xlfn.XLOOKUP(C15,UPPER(TRIM('04_Import_WMS'!$B$2:$B$5001)),'04_Import_WMS'!$D$2:$D$5001,0)</f>
        <v>345</v>
      </c>
      <c r="G15" s="24" cm="1">
        <f t="array" ref="G15">_xlfn.XLOOKUP(C15,UPPER(TRIM('05_Import_3PL'!$B$2:$B$5001)),'05_Import_3PL'!$C$2:$C$5001,0)</f>
        <v>348</v>
      </c>
      <c r="H15" s="37">
        <f t="shared" si="1"/>
        <v>5</v>
      </c>
      <c r="I15" s="37">
        <f t="shared" si="2"/>
        <v>2</v>
      </c>
      <c r="J15" s="23">
        <f t="shared" si="3"/>
        <v>60</v>
      </c>
      <c r="K15" s="23">
        <f t="shared" si="4"/>
        <v>24</v>
      </c>
      <c r="L15" s="38">
        <f t="shared" si="5"/>
        <v>84</v>
      </c>
      <c r="M15" s="25">
        <f t="shared" si="6"/>
        <v>1.4285714285714285E-2</v>
      </c>
      <c r="N15" s="39">
        <f>_xlfn.XLOOKUP(C15,'02_Config_Master'!$B:$B,'02_Config_Master'!$F:$F,0)</f>
        <v>15</v>
      </c>
      <c r="O15" s="40">
        <f>_xlfn.XLOOKUP(C15,'02_Config_Master'!$B:$B,'02_Config_Master'!$G:$G,0)</f>
        <v>0.02</v>
      </c>
      <c r="P15" s="41" t="str" cm="1">
        <f t="array" ref="P15">_xlfn.IFS(M15&gt;O15,"SLA Breach",MAX(ABS(H15),ABS(I15))&gt;N15,"Threshold Breach",H15=0,"Balanced",TRUE(),"Acceptable Variance")</f>
        <v>Acceptable Variance</v>
      </c>
      <c r="Q15" s="10"/>
      <c r="R15" s="10"/>
      <c r="S15" s="10"/>
      <c r="T15" s="10"/>
      <c r="U15" s="19"/>
      <c r="V15" s="19"/>
      <c r="W15" s="19"/>
      <c r="X15" s="19"/>
    </row>
    <row r="16" spans="1:24" ht="16.5" customHeight="1" x14ac:dyDescent="0.45">
      <c r="A16" s="10"/>
      <c r="B16" s="27" t="str">
        <f>'02_Config_Master'!B16</f>
        <v>BELT-008</v>
      </c>
      <c r="C16" s="42" t="str">
        <f t="shared" si="0"/>
        <v>BELT-008</v>
      </c>
      <c r="D16" s="29">
        <f>_xlfn.XLOOKUP(C16,'02_Config_Master'!$B:$B,'02_Config_Master'!$E:$E,0)</f>
        <v>28</v>
      </c>
      <c r="E16" s="30" cm="1">
        <f t="array" ref="E16">_xlfn.XLOOKUP(C16,UPPER(TRIM('03_Import_Shopify'!$B$2:$B$5001)),'03_Import_Shopify'!$E$2:$E$5001,0)</f>
        <v>120</v>
      </c>
      <c r="F16" s="30" cm="1">
        <f t="array" ref="F16">_xlfn.XLOOKUP(C16,UPPER(TRIM('04_Import_WMS'!$B$2:$B$5001)),'04_Import_WMS'!$D$2:$D$5001,0)</f>
        <v>115</v>
      </c>
      <c r="G16" s="30" cm="1">
        <f t="array" ref="G16">_xlfn.XLOOKUP(C16,UPPER(TRIM('05_Import_3PL'!$B$2:$B$5001)),'05_Import_3PL'!$C$2:$C$5001,0)</f>
        <v>116</v>
      </c>
      <c r="H16" s="43">
        <f t="shared" si="1"/>
        <v>5</v>
      </c>
      <c r="I16" s="43">
        <f t="shared" si="2"/>
        <v>4</v>
      </c>
      <c r="J16" s="29">
        <f t="shared" si="3"/>
        <v>140</v>
      </c>
      <c r="K16" s="29">
        <f t="shared" si="4"/>
        <v>112</v>
      </c>
      <c r="L16" s="44">
        <f t="shared" si="5"/>
        <v>252</v>
      </c>
      <c r="M16" s="31">
        <f t="shared" si="6"/>
        <v>4.1666666666666664E-2</v>
      </c>
      <c r="N16" s="45">
        <f>_xlfn.XLOOKUP(C16,'02_Config_Master'!$B:$B,'02_Config_Master'!$F:$F,0)</f>
        <v>8</v>
      </c>
      <c r="O16" s="46">
        <f>_xlfn.XLOOKUP(C16,'02_Config_Master'!$B:$B,'02_Config_Master'!$G:$G,0)</f>
        <v>0.02</v>
      </c>
      <c r="P16" s="47" t="str" cm="1">
        <f t="array" ref="P16">_xlfn.IFS(M16&gt;O16,"SLA Breach",MAX(ABS(H16),ABS(I16))&gt;N16,"Threshold Breach",H16=0,"Balanced",TRUE(),"Acceptable Variance")</f>
        <v>SLA Breach</v>
      </c>
      <c r="Q16" s="10"/>
      <c r="R16" s="10"/>
      <c r="S16" s="10"/>
      <c r="T16" s="10"/>
      <c r="U16" s="19"/>
      <c r="V16" s="19"/>
      <c r="W16" s="19"/>
      <c r="X16" s="19"/>
    </row>
    <row r="17" spans="1:24" ht="16.5" customHeight="1" x14ac:dyDescent="0.45">
      <c r="A17" s="10"/>
      <c r="B17" s="21" t="str">
        <f>'02_Config_Master'!B17</f>
        <v>PHONE-009</v>
      </c>
      <c r="C17" s="36" t="str">
        <f t="shared" si="0"/>
        <v>PHONE-009</v>
      </c>
      <c r="D17" s="23">
        <f>_xlfn.XLOOKUP(C17,'02_Config_Master'!$B:$B,'02_Config_Master'!$E:$E,0)</f>
        <v>18</v>
      </c>
      <c r="E17" s="24" cm="1">
        <f t="array" ref="E17">_xlfn.XLOOKUP(C17,UPPER(TRIM('03_Import_Shopify'!$B$2:$B$5001)),'03_Import_Shopify'!$E$2:$E$5001,0)</f>
        <v>280</v>
      </c>
      <c r="F17" s="24" cm="1">
        <f t="array" ref="F17">_xlfn.XLOOKUP(C17,UPPER(TRIM('04_Import_WMS'!$B$2:$B$5001)),'04_Import_WMS'!$D$2:$D$5001,0)</f>
        <v>278</v>
      </c>
      <c r="G17" s="24" cm="1">
        <f t="array" ref="G17">_xlfn.XLOOKUP(C17,UPPER(TRIM('05_Import_3PL'!$B$2:$B$5001)),'05_Import_3PL'!$C$2:$C$5001,0)</f>
        <v>279</v>
      </c>
      <c r="H17" s="37">
        <f t="shared" si="1"/>
        <v>2</v>
      </c>
      <c r="I17" s="37">
        <f t="shared" si="2"/>
        <v>1</v>
      </c>
      <c r="J17" s="23">
        <f t="shared" si="3"/>
        <v>36</v>
      </c>
      <c r="K17" s="23">
        <f t="shared" si="4"/>
        <v>18</v>
      </c>
      <c r="L17" s="38">
        <f t="shared" si="5"/>
        <v>54</v>
      </c>
      <c r="M17" s="25">
        <f t="shared" si="6"/>
        <v>7.1428571428571426E-3</v>
      </c>
      <c r="N17" s="39">
        <f>_xlfn.XLOOKUP(C17,'02_Config_Master'!$B:$B,'02_Config_Master'!$F:$F,0)</f>
        <v>12</v>
      </c>
      <c r="O17" s="40">
        <f>_xlfn.XLOOKUP(C17,'02_Config_Master'!$B:$B,'02_Config_Master'!$G:$G,0)</f>
        <v>1.4999999999999999E-2</v>
      </c>
      <c r="P17" s="41" t="str" cm="1">
        <f t="array" ref="P17">_xlfn.IFS(M17&gt;O17,"SLA Breach",MAX(ABS(H17),ABS(I17))&gt;N17,"Threshold Breach",H17=0,"Balanced",TRUE(),"Acceptable Variance")</f>
        <v>Acceptable Variance</v>
      </c>
      <c r="Q17" s="10"/>
      <c r="R17" s="10"/>
      <c r="S17" s="10"/>
      <c r="T17" s="10"/>
      <c r="U17" s="19"/>
      <c r="V17" s="19"/>
      <c r="W17" s="19"/>
      <c r="X17" s="19"/>
    </row>
    <row r="18" spans="1:24" ht="16.5" customHeight="1" x14ac:dyDescent="0.45">
      <c r="A18" s="10"/>
      <c r="B18" s="27" t="str">
        <f>'02_Config_Master'!B18</f>
        <v>HEADPHONE-010</v>
      </c>
      <c r="C18" s="42" t="str">
        <f t="shared" si="0"/>
        <v>HEADPHONE-010</v>
      </c>
      <c r="D18" s="29">
        <f>_xlfn.XLOOKUP(C18,'02_Config_Master'!$B:$B,'02_Config_Master'!$E:$E,0)</f>
        <v>75</v>
      </c>
      <c r="E18" s="30" cm="1">
        <f t="array" ref="E18">_xlfn.XLOOKUP(C18,UPPER(TRIM('03_Import_Shopify'!$B$2:$B$5001)),'03_Import_Shopify'!$E$2:$E$5001,0)</f>
        <v>55</v>
      </c>
      <c r="F18" s="30" cm="1">
        <f t="array" ref="F18">_xlfn.XLOOKUP(C18,UPPER(TRIM('04_Import_WMS'!$B$2:$B$5001)),'04_Import_WMS'!$D$2:$D$5001,0)</f>
        <v>52</v>
      </c>
      <c r="G18" s="30" cm="1">
        <f t="array" ref="G18">_xlfn.XLOOKUP(C18,UPPER(TRIM('05_Import_3PL'!$B$2:$B$5001)),'05_Import_3PL'!$C$2:$C$5001,0)</f>
        <v>53</v>
      </c>
      <c r="H18" s="43">
        <f t="shared" si="1"/>
        <v>3</v>
      </c>
      <c r="I18" s="43">
        <f t="shared" si="2"/>
        <v>2</v>
      </c>
      <c r="J18" s="29">
        <f t="shared" si="3"/>
        <v>225</v>
      </c>
      <c r="K18" s="29">
        <f t="shared" si="4"/>
        <v>150</v>
      </c>
      <c r="L18" s="44">
        <f t="shared" si="5"/>
        <v>375</v>
      </c>
      <c r="M18" s="31">
        <f t="shared" si="6"/>
        <v>5.4545454545454543E-2</v>
      </c>
      <c r="N18" s="45">
        <f>_xlfn.XLOOKUP(C18,'02_Config_Master'!$B:$B,'02_Config_Master'!$F:$F,0)</f>
        <v>3</v>
      </c>
      <c r="O18" s="46">
        <f>_xlfn.XLOOKUP(C18,'02_Config_Master'!$B:$B,'02_Config_Master'!$G:$G,0)</f>
        <v>0.03</v>
      </c>
      <c r="P18" s="47" t="str" cm="1">
        <f t="array" ref="P18">_xlfn.IFS(M18&gt;O18,"SLA Breach",MAX(ABS(H18),ABS(I18))&gt;N18,"Threshold Breach",H18=0,"Balanced",TRUE(),"Acceptable Variance")</f>
        <v>SLA Breach</v>
      </c>
      <c r="Q18" s="10"/>
      <c r="R18" s="10"/>
      <c r="S18" s="10"/>
      <c r="T18" s="10"/>
      <c r="U18" s="19"/>
      <c r="V18" s="19"/>
      <c r="W18" s="19"/>
      <c r="X18" s="19"/>
    </row>
    <row r="19" spans="1:24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9"/>
      <c r="V19" s="19"/>
      <c r="W19" s="19"/>
      <c r="X19" s="19"/>
    </row>
    <row r="20" spans="1:24" ht="30" customHeight="1" x14ac:dyDescent="0.45">
      <c r="A20" s="10"/>
      <c r="B20" s="8" t="s">
        <v>148</v>
      </c>
      <c r="C20" s="11"/>
      <c r="D20" s="11"/>
      <c r="E20" s="11"/>
      <c r="F20" s="11"/>
      <c r="G20" s="11"/>
      <c r="H20" s="11"/>
      <c r="I20" s="11"/>
      <c r="J20" s="48">
        <f>SUM(J9:J18)</f>
        <v>1092</v>
      </c>
      <c r="K20" s="48">
        <f>SUM(K9:K18)</f>
        <v>645</v>
      </c>
      <c r="L20" s="9">
        <f>SUM(L9:L18)</f>
        <v>1737</v>
      </c>
      <c r="M20" s="11"/>
      <c r="N20" s="11"/>
      <c r="O20" s="11"/>
      <c r="P20" s="11"/>
      <c r="Q20" s="10"/>
      <c r="R20" s="10"/>
      <c r="S20" s="10"/>
      <c r="T20" s="10"/>
      <c r="U20" s="19"/>
      <c r="V20" s="19"/>
      <c r="W20" s="19"/>
      <c r="X20" s="19"/>
    </row>
    <row r="21" spans="1:24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9"/>
      <c r="V21" s="19"/>
      <c r="W21" s="19"/>
      <c r="X21" s="19"/>
    </row>
    <row r="22" spans="1:24" ht="19.5" customHeight="1" x14ac:dyDescent="0.45">
      <c r="A22" s="10"/>
      <c r="B22" s="74" t="s">
        <v>149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10"/>
      <c r="R22" s="10"/>
      <c r="S22" s="10"/>
      <c r="T22" s="10"/>
      <c r="U22" s="19"/>
      <c r="V22" s="19"/>
      <c r="W22" s="19"/>
      <c r="X22" s="19"/>
    </row>
    <row r="23" spans="1:24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9"/>
      <c r="V23" s="19"/>
      <c r="W23" s="19"/>
      <c r="X23" s="19"/>
    </row>
    <row r="24" spans="1:24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9"/>
      <c r="V24" s="19"/>
      <c r="W24" s="19"/>
      <c r="X24" s="19"/>
    </row>
    <row r="25" spans="1:24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9"/>
      <c r="V25" s="19"/>
      <c r="W25" s="19"/>
      <c r="X25" s="19"/>
    </row>
    <row r="26" spans="1:24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9"/>
      <c r="V26" s="19"/>
      <c r="W26" s="19"/>
      <c r="X26" s="19"/>
    </row>
    <row r="27" spans="1:24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9"/>
      <c r="V27" s="19"/>
      <c r="W27" s="19"/>
      <c r="X27" s="19"/>
    </row>
    <row r="28" spans="1:24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9"/>
      <c r="V28" s="19"/>
      <c r="W28" s="19"/>
      <c r="X28" s="19"/>
    </row>
    <row r="29" spans="1:24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9"/>
      <c r="V29" s="19"/>
      <c r="W29" s="19"/>
      <c r="X29" s="19"/>
    </row>
    <row r="30" spans="1:24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9"/>
      <c r="V30" s="19"/>
      <c r="W30" s="19"/>
      <c r="X30" s="19"/>
    </row>
    <row r="31" spans="1:24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9"/>
      <c r="V31" s="19"/>
      <c r="W31" s="19"/>
      <c r="X31" s="19"/>
    </row>
    <row r="32" spans="1:24" x14ac:dyDescent="0.4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9"/>
      <c r="V32" s="19"/>
      <c r="W32" s="19"/>
      <c r="X32" s="19"/>
    </row>
    <row r="33" spans="1:24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9"/>
      <c r="V33" s="19"/>
      <c r="W33" s="19"/>
      <c r="X33" s="19"/>
    </row>
    <row r="34" spans="1:24" x14ac:dyDescent="0.4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9"/>
      <c r="V34" s="19"/>
      <c r="W34" s="19"/>
      <c r="X34" s="19"/>
    </row>
    <row r="35" spans="1:24" x14ac:dyDescent="0.4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9"/>
      <c r="V35" s="19"/>
      <c r="W35" s="19"/>
      <c r="X35" s="19"/>
    </row>
    <row r="36" spans="1:24" x14ac:dyDescent="0.4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9"/>
      <c r="V36" s="19"/>
      <c r="W36" s="19"/>
      <c r="X36" s="19"/>
    </row>
    <row r="37" spans="1:24" x14ac:dyDescent="0.4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9"/>
      <c r="V37" s="19"/>
      <c r="W37" s="19"/>
      <c r="X37" s="19"/>
    </row>
    <row r="38" spans="1:24" x14ac:dyDescent="0.4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9"/>
      <c r="V38" s="19"/>
      <c r="W38" s="19"/>
      <c r="X38" s="19"/>
    </row>
    <row r="39" spans="1:24" x14ac:dyDescent="0.4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9"/>
      <c r="V39" s="19"/>
      <c r="W39" s="19"/>
      <c r="X39" s="19"/>
    </row>
    <row r="40" spans="1:24" x14ac:dyDescent="0.4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9"/>
      <c r="V40" s="19"/>
      <c r="W40" s="19"/>
      <c r="X40" s="19"/>
    </row>
    <row r="41" spans="1:24" x14ac:dyDescent="0.4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9"/>
      <c r="V41" s="19"/>
      <c r="W41" s="19"/>
      <c r="X41" s="19"/>
    </row>
    <row r="42" spans="1:24" x14ac:dyDescent="0.4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9"/>
      <c r="V42" s="19"/>
      <c r="W42" s="19"/>
      <c r="X42" s="19"/>
    </row>
    <row r="43" spans="1:24" x14ac:dyDescent="0.4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9"/>
      <c r="V43" s="19"/>
      <c r="W43" s="19"/>
      <c r="X43" s="19"/>
    </row>
    <row r="44" spans="1:24" x14ac:dyDescent="0.4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9"/>
      <c r="V44" s="19"/>
      <c r="W44" s="19"/>
      <c r="X44" s="19"/>
    </row>
    <row r="45" spans="1:24" x14ac:dyDescent="0.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9"/>
      <c r="V45" s="19"/>
      <c r="W45" s="19"/>
      <c r="X45" s="19"/>
    </row>
    <row r="46" spans="1:24" x14ac:dyDescent="0.4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9"/>
      <c r="V46" s="19"/>
      <c r="W46" s="19"/>
      <c r="X46" s="19"/>
    </row>
    <row r="47" spans="1:24" x14ac:dyDescent="0.4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9"/>
      <c r="V47" s="19"/>
      <c r="W47" s="19"/>
      <c r="X47" s="19"/>
    </row>
    <row r="48" spans="1:24" x14ac:dyDescent="0.4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9"/>
      <c r="V48" s="19"/>
      <c r="W48" s="19"/>
      <c r="X48" s="19"/>
    </row>
    <row r="49" spans="1:24" x14ac:dyDescent="0.4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9"/>
      <c r="V49" s="19"/>
      <c r="W49" s="19"/>
      <c r="X49" s="19"/>
    </row>
    <row r="50" spans="1:24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9"/>
      <c r="V50" s="19"/>
      <c r="W50" s="19"/>
      <c r="X50" s="19"/>
    </row>
    <row r="51" spans="1:24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9"/>
      <c r="V51" s="19"/>
      <c r="W51" s="19"/>
      <c r="X51" s="19"/>
    </row>
    <row r="52" spans="1:24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9"/>
      <c r="V52" s="19"/>
      <c r="W52" s="19"/>
      <c r="X52" s="19"/>
    </row>
    <row r="53" spans="1:24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9"/>
      <c r="V53" s="19"/>
      <c r="W53" s="19"/>
      <c r="X53" s="19"/>
    </row>
    <row r="54" spans="1:24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9"/>
      <c r="V54" s="19"/>
      <c r="W54" s="19"/>
      <c r="X54" s="19"/>
    </row>
    <row r="55" spans="1:24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9"/>
      <c r="V55" s="19"/>
      <c r="W55" s="19"/>
      <c r="X55" s="19"/>
    </row>
  </sheetData>
  <mergeCells count="10">
    <mergeCell ref="Q2:S2"/>
    <mergeCell ref="Q3:S3"/>
    <mergeCell ref="B5:P5"/>
    <mergeCell ref="B6:P6"/>
    <mergeCell ref="B22:P22"/>
    <mergeCell ref="B2:D2"/>
    <mergeCell ref="E2:G2"/>
    <mergeCell ref="H2:J2"/>
    <mergeCell ref="K2:M2"/>
    <mergeCell ref="N2:P2"/>
  </mergeCells>
  <conditionalFormatting sqref="B9:P18">
    <cfRule type="expression" dxfId="2" priority="2">
      <formula>$P9="SLA Breach"</formula>
    </cfRule>
    <cfRule type="expression" dxfId="1" priority="3">
      <formula>$P9="Threshold Breach"</formula>
    </cfRule>
  </conditionalFormatting>
  <conditionalFormatting sqref="P9:P18">
    <cfRule type="expression" dxfId="0" priority="4">
      <formula>$P9="Balanced"</formula>
    </cfRule>
  </conditionalFormatting>
  <hyperlinks>
    <hyperlink ref="B2" r:id="rId1" location="'01_Dashboard'!A1" xr:uid="{00000000-0004-0000-0500-000000000000}"/>
    <hyperlink ref="E2" r:id="rId2" location="'02_Config_Master'!A1" xr:uid="{00000000-0004-0000-0500-000001000000}"/>
    <hyperlink ref="H2" r:id="rId3" location="'03_Import_Shopify'!A1" xr:uid="{00000000-0004-0000-0500-000002000000}"/>
    <hyperlink ref="K2" r:id="rId4" location="'04_Import_WMS'!A1" xr:uid="{00000000-0004-0000-0500-000003000000}"/>
    <hyperlink ref="N2" r:id="rId5" location="'05_Import_3PL'!A1" xr:uid="{00000000-0004-0000-0500-000004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01_Dashboard</vt:lpstr>
      <vt:lpstr>02_Config_Master</vt:lpstr>
      <vt:lpstr>03_Import_Shopify</vt:lpstr>
      <vt:lpstr>04_Import_WMS</vt:lpstr>
      <vt:lpstr>05_Import_3PL</vt:lpstr>
      <vt:lpstr>06_Calc_Engine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Hong Alex</cp:lastModifiedBy>
  <cp:revision>0</cp:revision>
  <dcterms:created xsi:type="dcterms:W3CDTF">2026-06-09T10:00:55Z</dcterms:created>
  <dcterms:modified xsi:type="dcterms:W3CDTF">2026-06-10T01:21:25Z</dcterms:modified>
  <dc:language>en-US</dc:language>
</cp:coreProperties>
</file>